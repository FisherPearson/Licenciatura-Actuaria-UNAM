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tda\OneDrive\Documentos\"/>
    </mc:Choice>
  </mc:AlternateContent>
  <xr:revisionPtr revIDLastSave="0" documentId="13_ncr:1_{E74BB0B9-C016-4EC9-B14D-0D30D75362D7}" xr6:coauthVersionLast="45" xr6:coauthVersionMax="45" xr10:uidLastSave="{00000000-0000-0000-0000-000000000000}"/>
  <bookViews>
    <workbookView xWindow="-110" yWindow="-110" windowWidth="38620" windowHeight="21220" activeTab="2" xr2:uid="{D74B049C-0785-41D9-AAAF-844AF0196A2D}"/>
  </bookViews>
  <sheets>
    <sheet name="Sheet1" sheetId="1" r:id="rId1"/>
    <sheet name="Amort" sheetId="3" r:id="rId2"/>
    <sheet name="Sheet2" sheetId="2" r:id="rId3"/>
    <sheet name="Sheet3" sheetId="4" r:id="rId4"/>
  </sheets>
  <functionGroups builtInGroupCount="19"/>
  <definedNames>
    <definedName name="solver_adj" localSheetId="2" hidden="1">Sheet2!$P$10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Sheet2!$P$12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51" i="2" l="1"/>
  <c r="Y54" i="2" l="1"/>
  <c r="Y55" i="2"/>
  <c r="Y56" i="2"/>
  <c r="Y53" i="2"/>
  <c r="X54" i="2"/>
  <c r="X55" i="2" s="1"/>
  <c r="X56" i="2" s="1"/>
  <c r="X53" i="2"/>
  <c r="AG57" i="2" a="1"/>
  <c r="AG57" i="2" l="1"/>
  <c r="W69" i="2" a="1"/>
  <c r="W69" i="2"/>
  <c r="W70" i="2"/>
  <c r="C6" i="4" a="1"/>
  <c r="C6" i="4" l="1"/>
  <c r="C46" i="2"/>
  <c r="C47" i="2"/>
  <c r="C48" i="2"/>
  <c r="C45" i="2"/>
  <c r="B38" i="2"/>
  <c r="C38" i="2" s="1"/>
  <c r="A38" i="2"/>
  <c r="A39" i="2"/>
  <c r="A40" i="2" s="1"/>
  <c r="A41" i="2" s="1"/>
  <c r="W42" i="2"/>
  <c r="W43" i="2"/>
  <c r="W41" i="2"/>
  <c r="U70" i="2" a="1"/>
  <c r="U69" i="2" a="1"/>
  <c r="U70" i="2" l="1"/>
  <c r="U69" i="2"/>
  <c r="B39" i="2"/>
  <c r="B40" i="2" s="1"/>
  <c r="B41" i="2" s="1"/>
  <c r="C41" i="2" s="1"/>
  <c r="W7" i="2"/>
  <c r="W8" i="2"/>
  <c r="W6" i="2"/>
  <c r="W26" i="2" a="1"/>
  <c r="W34" i="2" a="1"/>
  <c r="W35" i="2" a="1"/>
  <c r="W33" i="2" a="1"/>
  <c r="W36" i="2" a="1"/>
  <c r="W32" i="2" a="1"/>
  <c r="V43" i="2" a="1"/>
  <c r="V42" i="2" a="1"/>
  <c r="V41" i="2" a="1"/>
  <c r="C39" i="2" l="1"/>
  <c r="C40" i="2"/>
  <c r="V42" i="2"/>
  <c r="V43" i="2"/>
  <c r="V41" i="2"/>
  <c r="W36" i="2"/>
  <c r="W33" i="2"/>
  <c r="W35" i="2"/>
  <c r="W34" i="2"/>
  <c r="W32" i="2"/>
  <c r="W38" i="2" s="1"/>
  <c r="W26" i="2"/>
  <c r="C106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77" i="2"/>
  <c r="F76" i="2" a="1"/>
  <c r="V8" i="2" a="1"/>
  <c r="V7" i="2" a="1"/>
  <c r="V6" i="2" a="1"/>
  <c r="V7" i="2" l="1"/>
  <c r="V8" i="2"/>
  <c r="V6" i="2"/>
  <c r="F76" i="2"/>
  <c r="I26" i="2"/>
  <c r="Z19" i="2" a="1"/>
  <c r="Z18" i="2" a="1"/>
  <c r="I21" i="2" a="1"/>
  <c r="Z17" i="2" a="1"/>
  <c r="O31" i="2" a="1"/>
  <c r="G17" i="2" a="1"/>
  <c r="E28" i="2" a="1"/>
  <c r="Z15" i="2" a="1"/>
  <c r="I19" i="2" a="1"/>
  <c r="E31" i="2" a="1"/>
  <c r="I20" i="2" a="1"/>
  <c r="Z16" i="2" a="1"/>
  <c r="E30" i="2" a="1"/>
  <c r="E29" i="2" a="1"/>
  <c r="I21" i="2" l="1"/>
  <c r="I20" i="2"/>
  <c r="I19" i="2"/>
  <c r="G17" i="2"/>
  <c r="G18" i="2"/>
  <c r="Z18" i="2"/>
  <c r="Z17" i="2"/>
  <c r="Z19" i="2"/>
  <c r="Z16" i="2"/>
  <c r="Z15" i="2"/>
  <c r="O31" i="2"/>
  <c r="E29" i="2"/>
  <c r="E30" i="2"/>
  <c r="E31" i="2"/>
  <c r="G31" i="2" s="1"/>
  <c r="E28" i="2"/>
  <c r="E8" i="2"/>
  <c r="D8" i="2"/>
  <c r="E7" i="2"/>
  <c r="D6" i="2"/>
  <c r="E6" i="2" s="1"/>
  <c r="D7" i="2"/>
  <c r="F7" i="2" s="1"/>
  <c r="D5" i="2"/>
  <c r="E5" i="2"/>
  <c r="F5" i="2" s="1"/>
  <c r="C18" i="2" a="1"/>
  <c r="C17" i="2" a="1"/>
  <c r="C19" i="2" a="1"/>
  <c r="P11" i="2" a="1"/>
  <c r="D77" i="2" l="1"/>
  <c r="E77" i="2" s="1"/>
  <c r="F77" i="2" s="1"/>
  <c r="F6" i="2"/>
  <c r="P11" i="2"/>
  <c r="P12" i="2" s="1"/>
  <c r="C19" i="2"/>
  <c r="C18" i="2"/>
  <c r="C17" i="2"/>
  <c r="F8" i="2"/>
  <c r="G35" i="1" a="1"/>
  <c r="G4" i="2" a="1"/>
  <c r="G33" i="1" a="1"/>
  <c r="G36" i="1" a="1"/>
  <c r="G32" i="1" a="1"/>
  <c r="C34" i="1" a="1"/>
  <c r="G37" i="1" a="1"/>
  <c r="B33" i="1" a="1"/>
  <c r="G39" i="1" a="1"/>
  <c r="G34" i="1" a="1"/>
  <c r="C32" i="1" a="1"/>
  <c r="C33" i="1" a="1"/>
  <c r="G40" i="1" a="1"/>
  <c r="B34" i="1" a="1"/>
  <c r="B32" i="1" a="1"/>
  <c r="G38" i="1" a="1"/>
  <c r="D78" i="2" l="1"/>
  <c r="E78" i="2" s="1"/>
  <c r="F78" i="2" s="1"/>
  <c r="D79" i="2" s="1"/>
  <c r="E79" i="2" s="1"/>
  <c r="F79" i="2" s="1"/>
  <c r="D80" i="2" s="1"/>
  <c r="E80" i="2" s="1"/>
  <c r="F80" i="2" s="1"/>
  <c r="D81" i="2" s="1"/>
  <c r="E81" i="2" s="1"/>
  <c r="F81" i="2" s="1"/>
  <c r="D82" i="2" s="1"/>
  <c r="E82" i="2" s="1"/>
  <c r="F82" i="2" s="1"/>
  <c r="G4" i="2"/>
  <c r="G5" i="2" s="1"/>
  <c r="G6" i="2" s="1"/>
  <c r="G7" i="2" s="1"/>
  <c r="G8" i="2" s="1"/>
  <c r="G37" i="1"/>
  <c r="G38" i="1"/>
  <c r="G39" i="1"/>
  <c r="G35" i="1"/>
  <c r="G33" i="1"/>
  <c r="B33" i="1"/>
  <c r="G34" i="1"/>
  <c r="C33" i="1"/>
  <c r="B34" i="1"/>
  <c r="C32" i="1"/>
  <c r="G32" i="1"/>
  <c r="B32" i="1"/>
  <c r="C34" i="1"/>
  <c r="G36" i="1"/>
  <c r="G40" i="1"/>
  <c r="D83" i="2" l="1"/>
  <c r="E83" i="2" s="1"/>
  <c r="F83" i="2" s="1"/>
  <c r="D84" i="2" s="1"/>
  <c r="E84" i="2" s="1"/>
  <c r="F84" i="2" s="1"/>
  <c r="D85" i="2" l="1"/>
  <c r="E85" i="2" s="1"/>
  <c r="F85" i="2" s="1"/>
  <c r="D86" i="2" l="1"/>
  <c r="E86" i="2" s="1"/>
  <c r="F86" i="2" s="1"/>
  <c r="D87" i="2" l="1"/>
  <c r="E87" i="2" s="1"/>
  <c r="F87" i="2" s="1"/>
  <c r="D88" i="2" l="1"/>
  <c r="E88" i="2" s="1"/>
  <c r="F88" i="2" s="1"/>
  <c r="D89" i="2" l="1"/>
  <c r="E89" i="2" s="1"/>
  <c r="F89" i="2" s="1"/>
  <c r="D90" i="2" l="1"/>
  <c r="E90" i="2" s="1"/>
  <c r="F90" i="2" s="1"/>
  <c r="D91" i="2" l="1"/>
  <c r="E91" i="2" s="1"/>
  <c r="F91" i="2" s="1"/>
  <c r="D92" i="2" l="1"/>
  <c r="E92" i="2" s="1"/>
  <c r="F92" i="2" s="1"/>
  <c r="D93" i="2" l="1"/>
  <c r="E93" i="2" s="1"/>
  <c r="F93" i="2" s="1"/>
  <c r="D94" i="2" l="1"/>
  <c r="E94" i="2" s="1"/>
  <c r="F94" i="2" s="1"/>
  <c r="D95" i="2" l="1"/>
  <c r="E95" i="2" s="1"/>
  <c r="F95" i="2" s="1"/>
  <c r="D96" i="2" l="1"/>
  <c r="E96" i="2" s="1"/>
  <c r="F96" i="2" s="1"/>
  <c r="D97" i="2" l="1"/>
  <c r="E97" i="2" s="1"/>
  <c r="F97" i="2" s="1"/>
  <c r="D98" i="2" l="1"/>
  <c r="E98" i="2" s="1"/>
  <c r="F98" i="2" s="1"/>
  <c r="D99" i="2" l="1"/>
  <c r="E99" i="2" s="1"/>
  <c r="F99" i="2" s="1"/>
  <c r="D100" i="2" l="1"/>
  <c r="E100" i="2" s="1"/>
  <c r="F100" i="2" s="1"/>
  <c r="D101" i="2" l="1"/>
  <c r="E101" i="2" s="1"/>
  <c r="F101" i="2" s="1"/>
  <c r="D102" i="2" l="1"/>
  <c r="E102" i="2" s="1"/>
  <c r="F102" i="2" s="1"/>
  <c r="D103" i="2" l="1"/>
  <c r="E103" i="2" s="1"/>
  <c r="F103" i="2" s="1"/>
  <c r="D104" i="2" l="1"/>
  <c r="E104" i="2" s="1"/>
  <c r="F104" i="2" s="1"/>
  <c r="D105" i="2" l="1"/>
  <c r="E105" i="2" s="1"/>
  <c r="F105" i="2" s="1"/>
  <c r="D106" i="2" l="1"/>
  <c r="E106" i="2" s="1"/>
  <c r="F10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<sst xmlns="http://schemas.openxmlformats.org/spreadsheetml/2006/main" count="89" uniqueCount="48">
  <si>
    <t>Clean</t>
  </si>
  <si>
    <t>Dirty</t>
  </si>
  <si>
    <t>Theorical</t>
  </si>
  <si>
    <t>Practical</t>
  </si>
  <si>
    <t>Semi-theorical</t>
  </si>
  <si>
    <t>ELSE</t>
  </si>
  <si>
    <t xml:space="preserve">ERROR </t>
  </si>
  <si>
    <t>Ejercicio 2.3 (COMPROBACIÓN)</t>
  </si>
  <si>
    <t>POSIBLES ERRORES (ORDEN POR PARAMETRO)</t>
  </si>
  <si>
    <t>1°</t>
  </si>
  <si>
    <t>2°</t>
  </si>
  <si>
    <t>3°</t>
  </si>
  <si>
    <t>4°</t>
  </si>
  <si>
    <t>5°</t>
  </si>
  <si>
    <t>6°</t>
  </si>
  <si>
    <t>7°</t>
  </si>
  <si>
    <t>8°</t>
  </si>
  <si>
    <t>9°</t>
  </si>
  <si>
    <t>i=</t>
  </si>
  <si>
    <t>r</t>
  </si>
  <si>
    <t>C</t>
  </si>
  <si>
    <t>F</t>
  </si>
  <si>
    <t>t</t>
  </si>
  <si>
    <t>P</t>
  </si>
  <si>
    <t>n</t>
  </si>
  <si>
    <t>Xo</t>
  </si>
  <si>
    <t>Preal</t>
  </si>
  <si>
    <t xml:space="preserve">Diferencia: </t>
  </si>
  <si>
    <t>i</t>
  </si>
  <si>
    <t>Tabla Amortización.</t>
  </si>
  <si>
    <t>Kt</t>
  </si>
  <si>
    <t>It</t>
  </si>
  <si>
    <t>PRt</t>
  </si>
  <si>
    <t>BVt</t>
  </si>
  <si>
    <t>Taylor</t>
  </si>
  <si>
    <t>Bond Sal</t>
  </si>
  <si>
    <t>Newton</t>
  </si>
  <si>
    <t>Precio</t>
  </si>
  <si>
    <t>Dif</t>
  </si>
  <si>
    <t>Bond</t>
  </si>
  <si>
    <t>diferencia</t>
  </si>
  <si>
    <t>Semi</t>
  </si>
  <si>
    <t xml:space="preserve">Emision </t>
  </si>
  <si>
    <t>30 dias efectivos</t>
  </si>
  <si>
    <t xml:space="preserve">F </t>
  </si>
  <si>
    <t xml:space="preserve">r </t>
  </si>
  <si>
    <t>simple</t>
  </si>
  <si>
    <t>2 periodos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</si>
</sst>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"/>
    <numFmt numFmtId="166" formatCode="0.0%"/>
    <numFmt numFmtId="167" formatCode="0E+00"/>
    <numFmt numFmtId="168" formatCode="0.00000000"/>
    <numFmt numFmtId="169" formatCode="0.0000%"/>
    <numFmt numFmtId="170" formatCode="0.000000000000"/>
    <numFmt numFmtId="171" formatCode="0.0000000000"/>
    <numFmt numFmtId="172" formatCode="0.00000000000000"/>
    <numFmt numFmtId="173" formatCode="0.000000000000000"/>
    <numFmt numFmtId="174" formatCode="0.0000E+00"/>
    <numFmt numFmtId="175" formatCode="0.00000000000000000"/>
    <numFmt numFmtId="176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0" fillId="4" borderId="1" xfId="0" applyFill="1" applyBorder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6" borderId="0" xfId="0" applyFill="1"/>
    <xf numFmtId="0" fontId="0" fillId="0" borderId="0" xfId="0" applyAlignment="1">
      <alignment horizontal="center"/>
    </xf>
    <xf numFmtId="0" fontId="0" fillId="0" borderId="1" xfId="0" applyBorder="1"/>
    <xf numFmtId="170" fontId="0" fillId="0" borderId="1" xfId="0" applyNumberFormat="1" applyBorder="1"/>
    <xf numFmtId="0" fontId="4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14" fontId="0" fillId="0" borderId="0" xfId="0" applyNumberFormat="1"/>
    <xf numFmtId="176" fontId="0" fillId="0" borderId="0" xfId="0" applyNumberFormat="1"/>
    <xf numFmtId="15" fontId="0" fillId="0" borderId="5" xfId="0" applyNumberFormat="1" applyBorder="1"/>
    <xf numFmtId="15" fontId="0" fillId="0" borderId="6" xfId="0" applyNumberFormat="1" applyBorder="1"/>
    <xf numFmtId="15" fontId="0" fillId="0" borderId="7" xfId="0" applyNumberFormat="1" applyBorder="1"/>
    <xf numFmtId="2" fontId="4" fillId="6" borderId="0" xfId="0" applyNumberFormat="1" applyFont="1" applyFill="1"/>
    <xf numFmtId="0" fontId="0" fillId="4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/>
    </xf>
    <xf numFmtId="0" fontId="0" fillId="4" borderId="3" xfId="0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1" fillId="5" borderId="3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8</xdr:col>
      <xdr:colOff>9525</xdr:colOff>
      <xdr:row>28</xdr:row>
      <xdr:rowOff>190499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19050"/>
          <a:ext cx="5600700" cy="56959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2400" b="1">
              <a:solidFill>
                <a:schemeClr val="accent1"/>
              </a:solidFill>
            </a:rPr>
            <a:t>BVadvanced(n,t,k,r,i,F,C,CorD,Method)</a:t>
          </a:r>
        </a:p>
        <a:p>
          <a:pPr algn="l"/>
          <a:endParaRPr lang="es-MX" sz="1200" b="1">
            <a:solidFill>
              <a:schemeClr val="accent1"/>
            </a:solidFill>
          </a:endParaRPr>
        </a:p>
        <a:p>
          <a:pPr algn="l"/>
          <a:r>
            <a:rPr lang="es-MX" sz="1200" b="1">
              <a:solidFill>
                <a:sysClr val="windowText" lastClr="000000"/>
              </a:solidFill>
            </a:rPr>
            <a:t>BVadvances</a:t>
          </a:r>
          <a:r>
            <a:rPr lang="es-MX" sz="1200" b="1" baseline="0">
              <a:solidFill>
                <a:sysClr val="windowText" lastClr="000000"/>
              </a:solidFill>
            </a:rPr>
            <a:t> permite calcular precios limpios y precios sucios de un bono por 3 tipos de metodos diferentes: Practica, Teórico y Semi-Teórico. </a:t>
          </a:r>
        </a:p>
        <a:p>
          <a:pPr algn="l"/>
          <a:endParaRPr lang="es-MX" sz="1200" b="1" baseline="0">
            <a:solidFill>
              <a:sysClr val="windowText" lastClr="000000"/>
            </a:solidFill>
          </a:endParaRPr>
        </a:p>
        <a:p>
          <a:pPr algn="l"/>
          <a:r>
            <a:rPr lang="es-MX" sz="1600" b="1" baseline="0">
              <a:solidFill>
                <a:sysClr val="windowText" lastClr="000000"/>
              </a:solidFill>
            </a:rPr>
            <a:t>n</a:t>
          </a:r>
          <a:r>
            <a:rPr lang="es-MX" sz="1200" b="1" baseline="0">
              <a:solidFill>
                <a:sysClr val="windowText" lastClr="000000"/>
              </a:solidFill>
            </a:rPr>
            <a:t> : Número de periodos para descontar el valor de redención. Se requiere que n&gt;0.</a:t>
          </a:r>
        </a:p>
        <a:p>
          <a:pPr algn="l"/>
          <a:endParaRPr lang="es-MX" sz="1200" b="1" baseline="0">
            <a:solidFill>
              <a:sysClr val="windowText" lastClr="000000"/>
            </a:solidFill>
          </a:endParaRPr>
        </a:p>
        <a:p>
          <a:pPr algn="l"/>
          <a:r>
            <a:rPr lang="es-MX" sz="1400" b="1" baseline="0">
              <a:solidFill>
                <a:sysClr val="windowText" lastClr="000000"/>
              </a:solidFill>
            </a:rPr>
            <a:t>t</a:t>
          </a:r>
          <a:r>
            <a:rPr lang="es-MX" sz="1200" b="1" baseline="0">
              <a:solidFill>
                <a:sysClr val="windowText" lastClr="000000"/>
              </a:solidFill>
            </a:rPr>
            <a:t>: Número de plazos intermedios ya avanzados. t es una fecha cupón. Se requiere t&gt;0.</a:t>
          </a:r>
        </a:p>
        <a:p>
          <a:pPr algn="l"/>
          <a:endParaRPr lang="es-MX" sz="1200" b="1" baseline="0">
            <a:solidFill>
              <a:sysClr val="windowText" lastClr="000000"/>
            </a:solidFill>
          </a:endParaRPr>
        </a:p>
        <a:p>
          <a:pPr algn="l"/>
          <a:r>
            <a:rPr lang="es-MX" sz="1400" b="1" baseline="0">
              <a:solidFill>
                <a:sysClr val="windowText" lastClr="000000"/>
              </a:solidFill>
            </a:rPr>
            <a:t>k</a:t>
          </a:r>
          <a:r>
            <a:rPr lang="es-MX" sz="1200" b="1" baseline="0">
              <a:solidFill>
                <a:sysClr val="windowText" lastClr="000000"/>
              </a:solidFill>
            </a:rPr>
            <a:t>: Tiempo intermedio. Se requiere que 0&lt;=k&lt;=1. Puede ser expresada de forma racional o decimal.</a:t>
          </a:r>
        </a:p>
        <a:p>
          <a:pPr algn="l"/>
          <a:endParaRPr lang="es-MX" sz="1200" b="1">
            <a:solidFill>
              <a:sysClr val="windowText" lastClr="000000"/>
            </a:solidFill>
          </a:endParaRPr>
        </a:p>
        <a:p>
          <a:pPr algn="l"/>
          <a:r>
            <a:rPr lang="es-MX" sz="1400" b="1">
              <a:solidFill>
                <a:sysClr val="windowText" lastClr="000000"/>
              </a:solidFill>
            </a:rPr>
            <a:t>r</a:t>
          </a:r>
          <a:r>
            <a:rPr lang="es-MX" sz="1200" b="1">
              <a:solidFill>
                <a:sysClr val="windowText" lastClr="000000"/>
              </a:solidFill>
            </a:rPr>
            <a:t>: Tasa cupón. Se requiere que </a:t>
          </a:r>
          <a:r>
            <a:rPr lang="es-MX" sz="1200" b="1" baseline="0">
              <a:solidFill>
                <a:sysClr val="windowText" lastClr="000000"/>
              </a:solidFill>
            </a:rPr>
            <a:t> 0&lt;r&lt;=1. Se require que r sea expresada de forma decimal.</a:t>
          </a:r>
        </a:p>
        <a:p>
          <a:pPr algn="l"/>
          <a:endParaRPr lang="es-MX" sz="1200" b="1" baseline="0">
            <a:solidFill>
              <a:sysClr val="windowText" lastClr="000000"/>
            </a:solidFill>
          </a:endParaRPr>
        </a:p>
        <a:p>
          <a:pPr algn="l"/>
          <a:r>
            <a:rPr lang="es-MX" sz="1400" b="1" baseline="0">
              <a:solidFill>
                <a:sysClr val="windowText" lastClr="000000"/>
              </a:solidFill>
            </a:rPr>
            <a:t>i</a:t>
          </a:r>
          <a:r>
            <a:rPr lang="es-MX" sz="1200" b="1" baseline="0">
              <a:solidFill>
                <a:sysClr val="windowText" lastClr="000000"/>
              </a:solidFill>
            </a:rPr>
            <a:t>: Tasa de rendimiento del bono. Se requiere que 0&lt;i&lt;=1.</a:t>
          </a:r>
        </a:p>
        <a:p>
          <a:pPr algn="l"/>
          <a:endParaRPr lang="es-MX" sz="1200" b="1" baseline="0">
            <a:solidFill>
              <a:sysClr val="windowText" lastClr="000000"/>
            </a:solidFill>
          </a:endParaRPr>
        </a:p>
        <a:p>
          <a:pPr algn="l"/>
          <a:r>
            <a:rPr lang="es-MX" sz="1400" b="1" baseline="0">
              <a:solidFill>
                <a:sysClr val="windowText" lastClr="000000"/>
              </a:solidFill>
            </a:rPr>
            <a:t>F</a:t>
          </a:r>
          <a:r>
            <a:rPr lang="es-MX" sz="1200" b="1" baseline="0">
              <a:solidFill>
                <a:sysClr val="windowText" lastClr="000000"/>
              </a:solidFill>
            </a:rPr>
            <a:t>: Valor facial del bono.</a:t>
          </a:r>
        </a:p>
        <a:p>
          <a:pPr algn="l"/>
          <a:endParaRPr lang="es-MX" sz="1200" b="1" baseline="0">
            <a:solidFill>
              <a:sysClr val="windowText" lastClr="000000"/>
            </a:solidFill>
          </a:endParaRPr>
        </a:p>
        <a:p>
          <a:pPr algn="l"/>
          <a:r>
            <a:rPr lang="es-MX" sz="1400" b="1" baseline="0">
              <a:solidFill>
                <a:sysClr val="windowText" lastClr="000000"/>
              </a:solidFill>
            </a:rPr>
            <a:t>C</a:t>
          </a:r>
          <a:r>
            <a:rPr lang="es-MX" sz="1200" b="1" baseline="0">
              <a:solidFill>
                <a:sysClr val="windowText" lastClr="000000"/>
              </a:solidFill>
            </a:rPr>
            <a:t>: Valor de redención.</a:t>
          </a:r>
        </a:p>
        <a:p>
          <a:pPr algn="l"/>
          <a:endParaRPr lang="es-MX" sz="1200" b="1" baseline="0">
            <a:solidFill>
              <a:sysClr val="windowText" lastClr="000000"/>
            </a:solidFill>
          </a:endParaRPr>
        </a:p>
        <a:p>
          <a:pPr algn="l"/>
          <a:r>
            <a:rPr lang="es-MX" sz="1400" b="1" baseline="0">
              <a:solidFill>
                <a:sysClr val="windowText" lastClr="000000"/>
              </a:solidFill>
            </a:rPr>
            <a:t>CorD</a:t>
          </a:r>
          <a:r>
            <a:rPr lang="es-MX" sz="1200" b="1" baseline="0">
              <a:solidFill>
                <a:sysClr val="windowText" lastClr="000000"/>
              </a:solidFill>
            </a:rPr>
            <a:t>: "Clean" o "Dirty" según sea el caso.</a:t>
          </a:r>
        </a:p>
        <a:p>
          <a:pPr algn="l"/>
          <a:endParaRPr lang="es-MX" sz="1200" b="1" baseline="0">
            <a:solidFill>
              <a:sysClr val="windowText" lastClr="000000"/>
            </a:solidFill>
          </a:endParaRPr>
        </a:p>
        <a:p>
          <a:pPr algn="l"/>
          <a:r>
            <a:rPr lang="es-MX" sz="1400" b="1" baseline="0">
              <a:solidFill>
                <a:sysClr val="windowText" lastClr="000000"/>
              </a:solidFill>
            </a:rPr>
            <a:t>Method</a:t>
          </a:r>
          <a:r>
            <a:rPr lang="es-MX" sz="1200" b="1" baseline="0">
              <a:solidFill>
                <a:sysClr val="windowText" lastClr="000000"/>
              </a:solidFill>
            </a:rPr>
            <a:t>: "Practical" o "Theorical" o "Semi-Theorical" según sea el caso. Por default, BVadvanced escoge "Practical" (Opcional).</a:t>
          </a:r>
        </a:p>
        <a:p>
          <a:pPr algn="l"/>
          <a:endParaRPr lang="es-MX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114300</xdr:rowOff>
        </xdr:from>
        <xdr:to>
          <xdr:col>8</xdr:col>
          <xdr:colOff>527050</xdr:colOff>
          <xdr:row>8</xdr:row>
          <xdr:rowOff>158750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 de Amortización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711200</xdr:colOff>
      <xdr:row>27</xdr:row>
      <xdr:rowOff>69850</xdr:rowOff>
    </xdr:from>
    <xdr:to>
      <xdr:col>19</xdr:col>
      <xdr:colOff>483384</xdr:colOff>
      <xdr:row>29</xdr:row>
      <xdr:rowOff>15919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1700" y="5041900"/>
          <a:ext cx="5620534" cy="314369"/>
        </a:xfrm>
        <a:prstGeom prst="rect">
          <a:avLst/>
        </a:prstGeom>
      </xdr:spPr>
    </xdr:pic>
    <xdr:clientData/>
  </xdr:twoCellAnchor>
  <xdr:twoCellAnchor editAs="oneCell">
    <xdr:from>
      <xdr:col>13</xdr:col>
      <xdr:colOff>209550</xdr:colOff>
      <xdr:row>14</xdr:row>
      <xdr:rowOff>19050</xdr:rowOff>
    </xdr:from>
    <xdr:to>
      <xdr:col>16</xdr:col>
      <xdr:colOff>228858</xdr:colOff>
      <xdr:row>27</xdr:row>
      <xdr:rowOff>82893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40800" y="2597150"/>
          <a:ext cx="1848108" cy="2457793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31</xdr:row>
      <xdr:rowOff>158750</xdr:rowOff>
    </xdr:from>
    <xdr:to>
      <xdr:col>18</xdr:col>
      <xdr:colOff>337813</xdr:colOff>
      <xdr:row>59</xdr:row>
      <xdr:rowOff>22926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83050" y="5867400"/>
          <a:ext cx="9050013" cy="5020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4621E-FF07-47D0-B44D-A2328F3BE0A7}">
  <sheetPr codeName="Sheet1"/>
  <dimension ref="A1:I40"/>
  <sheetViews>
    <sheetView showGridLines="0" zoomScaleNormal="100" workbookViewId="0">
      <selection activeCell="C34" sqref="C34"/>
    </sheetView>
  </sheetViews>
  <sheetFormatPr defaultColWidth="0" defaultRowHeight="14.5" zeroHeight="1" x14ac:dyDescent="0.35"/>
  <cols>
    <col min="1" max="1" width="14.1796875" bestFit="1" customWidth="1"/>
    <col min="2" max="6" width="9.1796875" customWidth="1"/>
    <col min="7" max="7" width="14.453125" customWidth="1"/>
    <col min="8" max="8" width="9.54296875" bestFit="1" customWidth="1"/>
    <col min="9" max="9" width="9" hidden="1" customWidth="1"/>
    <col min="10" max="16384" width="9.1796875" hidden="1"/>
  </cols>
  <sheetData>
    <row r="1" spans="7:9" x14ac:dyDescent="0.35"/>
    <row r="2" spans="7:9" x14ac:dyDescent="0.35"/>
    <row r="3" spans="7:9" x14ac:dyDescent="0.35"/>
    <row r="4" spans="7:9" x14ac:dyDescent="0.35"/>
    <row r="5" spans="7:9" x14ac:dyDescent="0.35"/>
    <row r="6" spans="7:9" x14ac:dyDescent="0.35"/>
    <row r="7" spans="7:9" x14ac:dyDescent="0.35"/>
    <row r="8" spans="7:9" ht="15" customHeight="1" x14ac:dyDescent="0.35"/>
    <row r="9" spans="7:9" x14ac:dyDescent="0.35"/>
    <row r="10" spans="7:9" x14ac:dyDescent="0.35"/>
    <row r="11" spans="7:9" x14ac:dyDescent="0.35">
      <c r="G11" s="1"/>
      <c r="H11" s="1"/>
      <c r="I11" s="1"/>
    </row>
    <row r="12" spans="7:9" ht="30" customHeight="1" x14ac:dyDescent="0.35"/>
    <row r="13" spans="7:9" x14ac:dyDescent="0.35"/>
    <row r="14" spans="7:9" x14ac:dyDescent="0.35"/>
    <row r="15" spans="7:9" x14ac:dyDescent="0.35"/>
    <row r="16" spans="7:9" x14ac:dyDescent="0.35"/>
    <row r="17" spans="1:7" x14ac:dyDescent="0.35"/>
    <row r="18" spans="1:7" x14ac:dyDescent="0.35"/>
    <row r="19" spans="1:7" x14ac:dyDescent="0.35"/>
    <row r="20" spans="1:7" x14ac:dyDescent="0.35"/>
    <row r="21" spans="1:7" x14ac:dyDescent="0.35"/>
    <row r="22" spans="1:7" x14ac:dyDescent="0.35"/>
    <row r="23" spans="1:7" x14ac:dyDescent="0.35"/>
    <row r="24" spans="1:7" x14ac:dyDescent="0.35"/>
    <row r="25" spans="1:7" x14ac:dyDescent="0.35"/>
    <row r="26" spans="1:7" x14ac:dyDescent="0.35"/>
    <row r="27" spans="1:7" x14ac:dyDescent="0.35"/>
    <row r="28" spans="1:7" x14ac:dyDescent="0.35"/>
    <row r="29" spans="1:7" x14ac:dyDescent="0.35"/>
    <row r="30" spans="1:7" ht="16.5" customHeight="1" x14ac:dyDescent="0.35">
      <c r="A30" s="31" t="s">
        <v>7</v>
      </c>
      <c r="B30" s="31"/>
      <c r="C30" s="31"/>
      <c r="E30" s="33" t="s">
        <v>8</v>
      </c>
      <c r="F30" s="34"/>
      <c r="G30" s="35"/>
    </row>
    <row r="31" spans="1:7" ht="18.5" x14ac:dyDescent="0.45">
      <c r="A31" s="7"/>
      <c r="B31" s="4" t="s">
        <v>0</v>
      </c>
      <c r="C31" s="5" t="s">
        <v>1</v>
      </c>
      <c r="E31" s="7"/>
      <c r="F31" s="36" t="s">
        <v>5</v>
      </c>
      <c r="G31" s="37"/>
    </row>
    <row r="32" spans="1:7" x14ac:dyDescent="0.35">
      <c r="A32" s="6" t="s">
        <v>3</v>
      </c>
      <c r="B32" s="3" cm="1">
        <f t="array" ref="B32">BVadvanced(20,3,1/3,0.04,0.05,1000,1000,"Clean","Practical")</f>
        <v>888.7136598142074</v>
      </c>
      <c r="C32" s="3" cm="1">
        <f t="array" ref="C32">BVadvanced(20,3,1/3,0.04,0.05,1000,1000,"Dirty","Practical")</f>
        <v>902.04699314754077</v>
      </c>
      <c r="E32" s="32" t="s">
        <v>6</v>
      </c>
      <c r="F32" s="2" t="s">
        <v>9</v>
      </c>
      <c r="G32" s="2" cm="1">
        <f t="array" ref="G32">BVadvanced(0,3,1/3,0.04,0.05,1000,1000,"Clean","Practical")</f>
        <v>-1</v>
      </c>
    </row>
    <row r="33" spans="1:7" x14ac:dyDescent="0.35">
      <c r="A33" s="6" t="s">
        <v>2</v>
      </c>
      <c r="B33" s="3" cm="1">
        <f t="array" ref="B33">BVadvanced(20,3,1/3,0.04,0.05,1000,1000,"Clean","Theorical")</f>
        <v>888.69007275561262</v>
      </c>
      <c r="C33" s="3" cm="1">
        <f t="array" ref="C33">BVadvanced(20,3,1/3,0.04,0.05,1000,1000,"Dirty","Theorical")</f>
        <v>901.80715820749538</v>
      </c>
      <c r="E33" s="32"/>
      <c r="F33" s="2" t="s">
        <v>10</v>
      </c>
      <c r="G33" s="2" cm="1">
        <f t="array" ref="G33">BVadvanced(20,-5,1/3,0.04,0.05,1000,1000,"Clean","Practical")</f>
        <v>-1</v>
      </c>
    </row>
    <row r="34" spans="1:7" x14ac:dyDescent="0.35">
      <c r="A34" s="6" t="s">
        <v>4</v>
      </c>
      <c r="B34" s="3" cm="1">
        <f t="array" ref="B34">BVadvanced(20,3,1/3,0.04,0.05,1000,1000,"Clean","Semi-Theorical")</f>
        <v>888.47382487416201</v>
      </c>
      <c r="C34" s="3" cm="1">
        <f t="array" ref="C34">BVadvanced(20,3,1/3,0.04,0.05,1000,1000,"Dirty","Semi-Theorical")</f>
        <v>901.80715820749538</v>
      </c>
      <c r="E34" s="32"/>
      <c r="F34" s="2" t="s">
        <v>11</v>
      </c>
      <c r="G34" s="2" cm="1">
        <f t="array" ref="G34">BVadvanced(20,3,5,0.04,0.05,1000,1000,"Clean","Practical")</f>
        <v>-1</v>
      </c>
    </row>
    <row r="35" spans="1:7" x14ac:dyDescent="0.35">
      <c r="E35" s="32"/>
      <c r="F35" s="2" t="s">
        <v>12</v>
      </c>
      <c r="G35" s="2" cm="1">
        <f t="array" ref="G35">BVadvanced(20,3,1/3,-0.04,0.05,1000,1000,"Clean","Practical")</f>
        <v>-1</v>
      </c>
    </row>
    <row r="36" spans="1:7" x14ac:dyDescent="0.35">
      <c r="E36" s="32"/>
      <c r="F36" s="2" t="s">
        <v>13</v>
      </c>
      <c r="G36" s="2" cm="1">
        <f t="array" ref="G36">BVadvanced(20,3,1/3,0.04,21,1000,1000,"Clean","Practical")</f>
        <v>-1</v>
      </c>
    </row>
    <row r="37" spans="1:7" x14ac:dyDescent="0.35">
      <c r="E37" s="32"/>
      <c r="F37" s="2" t="s">
        <v>14</v>
      </c>
      <c r="G37" s="2" cm="1">
        <f t="array" ref="G37">BVadvanced(20,3,1/3,0.04,0.05,-1,1000,"Clean","Practical")</f>
        <v>-1</v>
      </c>
    </row>
    <row r="38" spans="1:7" x14ac:dyDescent="0.35">
      <c r="E38" s="32"/>
      <c r="F38" s="2" t="s">
        <v>15</v>
      </c>
      <c r="G38" s="2" cm="1">
        <f t="array" ref="G38">BVadvanced(20,3,1/3,0.04,0.05,1000,-5,"Clean","Practical")</f>
        <v>-1</v>
      </c>
    </row>
    <row r="39" spans="1:7" ht="15" customHeight="1" x14ac:dyDescent="0.35">
      <c r="E39" s="32"/>
      <c r="F39" s="2" t="s">
        <v>16</v>
      </c>
      <c r="G39" s="2" cm="1">
        <f t="array" ref="G39">BVadvanced(20,3,1/3,0.04,0.05,1000,1000,"HelLow","Practical")</f>
        <v>-1</v>
      </c>
    </row>
    <row r="40" spans="1:7" x14ac:dyDescent="0.35">
      <c r="E40" s="32"/>
      <c r="F40" s="2" t="s">
        <v>17</v>
      </c>
      <c r="G40" s="2" cm="1">
        <f t="array" ref="G40">BVadvanced(20,3,1/3,0.04,0.05,1000,1000,"Clean","Pepito")</f>
        <v>-1</v>
      </c>
    </row>
  </sheetData>
  <mergeCells count="4">
    <mergeCell ref="A30:C30"/>
    <mergeCell ref="E32:E40"/>
    <mergeCell ref="E30:G30"/>
    <mergeCell ref="F31:G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0D255-2C30-44F4-BFBC-2838ECD65EFE}">
  <sheetPr codeName="Sheet3">
    <tabColor rgb="FFFF0000"/>
  </sheetPr>
  <dimension ref="A1:I106"/>
  <sheetViews>
    <sheetView showGridLines="0" workbookViewId="0">
      <selection activeCell="H4" sqref="H4"/>
    </sheetView>
  </sheetViews>
  <sheetFormatPr defaultColWidth="0" defaultRowHeight="14.5" x14ac:dyDescent="0.35"/>
  <cols>
    <col min="1" max="2" width="8.7265625" customWidth="1"/>
    <col min="3" max="3" width="16.453125" bestFit="1" customWidth="1"/>
    <col min="4" max="5" width="18.54296875" bestFit="1" customWidth="1"/>
    <col min="6" max="9" width="8.7265625" customWidth="1"/>
    <col min="10" max="14" width="8.7265625" hidden="1" customWidth="1"/>
    <col min="15" max="16384" width="8.7265625" hidden="1"/>
  </cols>
  <sheetData>
    <row r="1" spans="1:8" x14ac:dyDescent="0.35">
      <c r="A1" s="18" t="s">
        <v>22</v>
      </c>
      <c r="B1" s="18" t="s">
        <v>30</v>
      </c>
      <c r="C1" s="18" t="s">
        <v>31</v>
      </c>
      <c r="D1" s="18" t="s">
        <v>32</v>
      </c>
      <c r="E1" s="18" t="s">
        <v>33</v>
      </c>
    </row>
    <row r="2" spans="1:8" x14ac:dyDescent="0.35">
      <c r="A2" s="16">
        <v>0</v>
      </c>
      <c r="B2" s="16">
        <v>0</v>
      </c>
      <c r="C2" s="17">
        <v>0</v>
      </c>
      <c r="D2" s="17">
        <v>0</v>
      </c>
      <c r="E2" s="17">
        <v>1000</v>
      </c>
      <c r="G2" s="19" t="s">
        <v>21</v>
      </c>
      <c r="H2" s="16">
        <v>1000</v>
      </c>
    </row>
    <row r="3" spans="1:8" x14ac:dyDescent="0.35">
      <c r="A3" s="16">
        <v>1</v>
      </c>
      <c r="B3" s="16">
        <v>37.5</v>
      </c>
      <c r="C3" s="17">
        <v>37.5</v>
      </c>
      <c r="D3" s="17">
        <v>0</v>
      </c>
      <c r="E3" s="17">
        <v>1000</v>
      </c>
      <c r="G3" s="19" t="s">
        <v>19</v>
      </c>
      <c r="H3" s="16">
        <v>3.7499999999999999E-2</v>
      </c>
    </row>
    <row r="4" spans="1:8" x14ac:dyDescent="0.35">
      <c r="A4" s="16">
        <v>2</v>
      </c>
      <c r="B4" s="16">
        <v>37.5</v>
      </c>
      <c r="C4" s="17">
        <v>37.5</v>
      </c>
      <c r="D4" s="17">
        <v>0</v>
      </c>
      <c r="E4" s="17">
        <v>1000</v>
      </c>
      <c r="G4" s="19" t="s">
        <v>28</v>
      </c>
      <c r="H4" s="16">
        <v>3.7499999999999999E-2</v>
      </c>
    </row>
    <row r="5" spans="1:8" x14ac:dyDescent="0.35">
      <c r="A5" s="16">
        <v>3</v>
      </c>
      <c r="B5" s="16">
        <v>37.5</v>
      </c>
      <c r="C5" s="17">
        <v>37.5</v>
      </c>
      <c r="D5" s="17">
        <v>0</v>
      </c>
      <c r="E5" s="17">
        <v>1000</v>
      </c>
      <c r="G5" s="19" t="s">
        <v>20</v>
      </c>
      <c r="H5" s="16">
        <v>1000</v>
      </c>
    </row>
    <row r="6" spans="1:8" x14ac:dyDescent="0.35">
      <c r="A6" s="16">
        <v>4</v>
      </c>
      <c r="B6" s="16">
        <v>37.5</v>
      </c>
      <c r="C6" s="17">
        <v>37.5</v>
      </c>
      <c r="D6" s="17">
        <v>0</v>
      </c>
      <c r="E6" s="17">
        <v>1000</v>
      </c>
      <c r="G6" s="19" t="s">
        <v>24</v>
      </c>
      <c r="H6" s="16">
        <v>10</v>
      </c>
    </row>
    <row r="7" spans="1:8" x14ac:dyDescent="0.35">
      <c r="A7" s="16">
        <v>5</v>
      </c>
      <c r="B7" s="16">
        <v>37.5</v>
      </c>
      <c r="C7" s="17">
        <v>37.5</v>
      </c>
      <c r="D7" s="17">
        <v>0</v>
      </c>
      <c r="E7" s="17">
        <v>1000</v>
      </c>
    </row>
    <row r="8" spans="1:8" x14ac:dyDescent="0.35">
      <c r="A8" s="16">
        <v>6</v>
      </c>
      <c r="B8" s="16">
        <v>37.5</v>
      </c>
      <c r="C8" s="17">
        <v>37.5</v>
      </c>
      <c r="D8" s="17">
        <v>0</v>
      </c>
      <c r="E8" s="17">
        <v>1000</v>
      </c>
    </row>
    <row r="9" spans="1:8" x14ac:dyDescent="0.35">
      <c r="A9" s="16">
        <v>7</v>
      </c>
      <c r="B9" s="16">
        <v>37.5</v>
      </c>
      <c r="C9" s="17">
        <v>37.5</v>
      </c>
      <c r="D9" s="17">
        <v>0</v>
      </c>
      <c r="E9" s="17">
        <v>1000</v>
      </c>
    </row>
    <row r="10" spans="1:8" x14ac:dyDescent="0.35">
      <c r="A10" s="16">
        <v>8</v>
      </c>
      <c r="B10" s="16">
        <v>37.5</v>
      </c>
      <c r="C10" s="17">
        <v>37.5</v>
      </c>
      <c r="D10" s="17">
        <v>0</v>
      </c>
      <c r="E10" s="17">
        <v>1000</v>
      </c>
    </row>
    <row r="11" spans="1:8" x14ac:dyDescent="0.35">
      <c r="A11" s="16">
        <v>9</v>
      </c>
      <c r="B11" s="16">
        <v>37.5</v>
      </c>
      <c r="C11" s="17">
        <v>37.5</v>
      </c>
      <c r="D11" s="17">
        <v>0</v>
      </c>
      <c r="E11" s="17">
        <v>1000</v>
      </c>
    </row>
    <row r="12" spans="1:8" x14ac:dyDescent="0.35">
      <c r="A12" s="16">
        <v>10</v>
      </c>
      <c r="B12" s="16">
        <v>1037.5</v>
      </c>
      <c r="C12" s="17">
        <v>37.5</v>
      </c>
      <c r="D12" s="17">
        <v>1000</v>
      </c>
      <c r="E12" s="17">
        <v>0</v>
      </c>
    </row>
    <row r="13" spans="1:8" x14ac:dyDescent="0.35">
      <c r="A13" s="16"/>
      <c r="B13" s="16"/>
      <c r="C13" s="17"/>
      <c r="D13" s="17"/>
      <c r="E13" s="17"/>
    </row>
    <row r="14" spans="1:8" x14ac:dyDescent="0.35">
      <c r="A14" s="16"/>
      <c r="B14" s="16"/>
      <c r="C14" s="17"/>
      <c r="D14" s="17"/>
      <c r="E14" s="17"/>
    </row>
    <row r="15" spans="1:8" x14ac:dyDescent="0.35">
      <c r="A15" s="16"/>
      <c r="B15" s="16"/>
      <c r="C15" s="17"/>
      <c r="D15" s="17"/>
      <c r="E15" s="17"/>
    </row>
    <row r="16" spans="1:8" x14ac:dyDescent="0.35">
      <c r="A16" s="16"/>
      <c r="B16" s="16"/>
      <c r="C16" s="17"/>
      <c r="D16" s="17"/>
      <c r="E16" s="17"/>
    </row>
    <row r="17" spans="1:5" x14ac:dyDescent="0.35">
      <c r="A17" s="16"/>
      <c r="B17" s="16"/>
      <c r="C17" s="17"/>
      <c r="D17" s="17"/>
      <c r="E17" s="17"/>
    </row>
    <row r="18" spans="1:5" x14ac:dyDescent="0.35">
      <c r="A18" s="16"/>
      <c r="B18" s="16"/>
      <c r="C18" s="17"/>
      <c r="D18" s="17"/>
      <c r="E18" s="17"/>
    </row>
    <row r="19" spans="1:5" x14ac:dyDescent="0.35">
      <c r="A19" s="16"/>
      <c r="B19" s="16"/>
      <c r="C19" s="17"/>
      <c r="D19" s="17"/>
      <c r="E19" s="17"/>
    </row>
    <row r="20" spans="1:5" x14ac:dyDescent="0.35">
      <c r="A20" s="16"/>
      <c r="B20" s="16"/>
      <c r="C20" s="17"/>
      <c r="D20" s="17"/>
      <c r="E20" s="17"/>
    </row>
    <row r="21" spans="1:5" x14ac:dyDescent="0.35">
      <c r="A21" s="16"/>
      <c r="B21" s="16"/>
      <c r="C21" s="17"/>
      <c r="D21" s="17"/>
      <c r="E21" s="17"/>
    </row>
    <row r="22" spans="1:5" x14ac:dyDescent="0.35">
      <c r="A22" s="16"/>
      <c r="B22" s="16"/>
      <c r="C22" s="17"/>
      <c r="D22" s="17"/>
      <c r="E22" s="17"/>
    </row>
    <row r="23" spans="1:5" x14ac:dyDescent="0.35">
      <c r="A23" s="16"/>
      <c r="B23" s="16"/>
      <c r="C23" s="17"/>
      <c r="D23" s="17"/>
      <c r="E23" s="17"/>
    </row>
    <row r="24" spans="1:5" x14ac:dyDescent="0.35">
      <c r="A24" s="16"/>
      <c r="B24" s="16"/>
      <c r="C24" s="17"/>
      <c r="D24" s="17"/>
      <c r="E24" s="17"/>
    </row>
    <row r="25" spans="1:5" x14ac:dyDescent="0.35">
      <c r="A25" s="16"/>
      <c r="B25" s="16"/>
      <c r="C25" s="17"/>
      <c r="D25" s="17"/>
      <c r="E25" s="17"/>
    </row>
    <row r="26" spans="1:5" x14ac:dyDescent="0.35">
      <c r="A26" s="16"/>
      <c r="B26" s="16"/>
      <c r="C26" s="17"/>
      <c r="D26" s="17"/>
      <c r="E26" s="17"/>
    </row>
    <row r="27" spans="1:5" x14ac:dyDescent="0.35">
      <c r="A27" s="16"/>
      <c r="B27" s="16"/>
      <c r="C27" s="17"/>
      <c r="D27" s="17"/>
      <c r="E27" s="17"/>
    </row>
    <row r="28" spans="1:5" x14ac:dyDescent="0.35">
      <c r="A28" s="16"/>
      <c r="B28" s="16"/>
      <c r="C28" s="17"/>
      <c r="D28" s="17"/>
      <c r="E28" s="17"/>
    </row>
    <row r="29" spans="1:5" x14ac:dyDescent="0.35">
      <c r="A29" s="16"/>
      <c r="B29" s="16"/>
      <c r="C29" s="17"/>
      <c r="D29" s="17"/>
      <c r="E29" s="17"/>
    </row>
    <row r="30" spans="1:5" x14ac:dyDescent="0.35">
      <c r="A30" s="16"/>
      <c r="B30" s="16"/>
      <c r="C30" s="17"/>
      <c r="D30" s="17"/>
      <c r="E30" s="17"/>
    </row>
    <row r="31" spans="1:5" x14ac:dyDescent="0.35">
      <c r="A31" s="16"/>
      <c r="B31" s="16"/>
      <c r="C31" s="17"/>
      <c r="D31" s="17"/>
      <c r="E31" s="17"/>
    </row>
    <row r="32" spans="1:5" x14ac:dyDescent="0.35">
      <c r="A32" s="16"/>
      <c r="B32" s="16"/>
      <c r="C32" s="17"/>
      <c r="D32" s="17"/>
      <c r="E32" s="17"/>
    </row>
    <row r="33" spans="1:5" x14ac:dyDescent="0.35">
      <c r="A33" s="16"/>
      <c r="B33" s="16"/>
      <c r="C33" s="16"/>
      <c r="D33" s="16"/>
      <c r="E33" s="16"/>
    </row>
    <row r="34" spans="1:5" x14ac:dyDescent="0.35">
      <c r="A34" s="16"/>
      <c r="B34" s="16"/>
      <c r="C34" s="16"/>
      <c r="D34" s="16"/>
      <c r="E34" s="16"/>
    </row>
    <row r="35" spans="1:5" x14ac:dyDescent="0.35">
      <c r="A35" s="16"/>
      <c r="B35" s="16"/>
      <c r="C35" s="16"/>
      <c r="D35" s="16"/>
      <c r="E35" s="16"/>
    </row>
    <row r="36" spans="1:5" x14ac:dyDescent="0.35">
      <c r="A36" s="16"/>
      <c r="B36" s="16"/>
      <c r="C36" s="16"/>
      <c r="D36" s="16"/>
      <c r="E36" s="16"/>
    </row>
    <row r="37" spans="1:5" x14ac:dyDescent="0.35">
      <c r="A37" s="16"/>
      <c r="B37" s="16"/>
      <c r="C37" s="16"/>
      <c r="D37" s="16"/>
      <c r="E37" s="16"/>
    </row>
    <row r="38" spans="1:5" x14ac:dyDescent="0.35">
      <c r="A38" s="16"/>
      <c r="B38" s="16"/>
      <c r="C38" s="16"/>
      <c r="D38" s="16"/>
      <c r="E38" s="16"/>
    </row>
    <row r="39" spans="1:5" x14ac:dyDescent="0.35">
      <c r="A39" s="16"/>
      <c r="B39" s="16"/>
      <c r="C39" s="16"/>
      <c r="D39" s="16"/>
      <c r="E39" s="16"/>
    </row>
    <row r="40" spans="1:5" x14ac:dyDescent="0.35">
      <c r="A40" s="16"/>
      <c r="B40" s="16"/>
      <c r="C40" s="16"/>
      <c r="D40" s="16"/>
      <c r="E40" s="16"/>
    </row>
    <row r="41" spans="1:5" x14ac:dyDescent="0.35">
      <c r="A41" s="16"/>
      <c r="B41" s="16"/>
      <c r="C41" s="16"/>
      <c r="D41" s="16"/>
      <c r="E41" s="16"/>
    </row>
    <row r="42" spans="1:5" x14ac:dyDescent="0.35">
      <c r="A42" s="16"/>
      <c r="B42" s="16"/>
      <c r="C42" s="16"/>
      <c r="D42" s="16"/>
      <c r="E42" s="16"/>
    </row>
    <row r="43" spans="1:5" x14ac:dyDescent="0.35">
      <c r="A43" s="16"/>
      <c r="B43" s="16"/>
      <c r="C43" s="16"/>
      <c r="D43" s="16"/>
      <c r="E43" s="16"/>
    </row>
    <row r="44" spans="1:5" x14ac:dyDescent="0.35">
      <c r="A44" s="16"/>
      <c r="B44" s="16"/>
      <c r="C44" s="16"/>
      <c r="D44" s="16"/>
      <c r="E44" s="16"/>
    </row>
    <row r="45" spans="1:5" x14ac:dyDescent="0.35">
      <c r="A45" s="16"/>
      <c r="B45" s="16"/>
      <c r="C45" s="16"/>
      <c r="D45" s="16"/>
      <c r="E45" s="16"/>
    </row>
    <row r="46" spans="1:5" x14ac:dyDescent="0.35">
      <c r="A46" s="16"/>
      <c r="B46" s="16"/>
      <c r="C46" s="16"/>
      <c r="D46" s="16"/>
      <c r="E46" s="16"/>
    </row>
    <row r="47" spans="1:5" x14ac:dyDescent="0.35">
      <c r="A47" s="16"/>
      <c r="B47" s="16"/>
      <c r="C47" s="16"/>
      <c r="D47" s="16"/>
      <c r="E47" s="16"/>
    </row>
    <row r="48" spans="1:5" x14ac:dyDescent="0.35">
      <c r="A48" s="16"/>
      <c r="B48" s="16"/>
      <c r="C48" s="16"/>
      <c r="D48" s="16"/>
      <c r="E48" s="16"/>
    </row>
    <row r="49" spans="1:5" x14ac:dyDescent="0.35">
      <c r="A49" s="16"/>
      <c r="B49" s="16"/>
      <c r="C49" s="16"/>
      <c r="D49" s="16"/>
      <c r="E49" s="16"/>
    </row>
    <row r="50" spans="1:5" x14ac:dyDescent="0.35">
      <c r="A50" s="16"/>
      <c r="B50" s="16"/>
      <c r="C50" s="16"/>
      <c r="D50" s="16"/>
      <c r="E50" s="16"/>
    </row>
    <row r="51" spans="1:5" x14ac:dyDescent="0.35">
      <c r="A51" s="16"/>
      <c r="B51" s="16"/>
      <c r="C51" s="16"/>
      <c r="D51" s="16"/>
      <c r="E51" s="16"/>
    </row>
    <row r="52" spans="1:5" x14ac:dyDescent="0.35">
      <c r="A52" s="16"/>
      <c r="B52" s="16"/>
      <c r="C52" s="16"/>
      <c r="D52" s="16"/>
      <c r="E52" s="16"/>
    </row>
    <row r="53" spans="1:5" x14ac:dyDescent="0.35">
      <c r="A53" s="16"/>
      <c r="B53" s="16"/>
      <c r="C53" s="16"/>
      <c r="D53" s="16"/>
      <c r="E53" s="16"/>
    </row>
    <row r="54" spans="1:5" x14ac:dyDescent="0.35">
      <c r="A54" s="16"/>
      <c r="B54" s="16"/>
      <c r="C54" s="16"/>
      <c r="D54" s="16"/>
      <c r="E54" s="16"/>
    </row>
    <row r="55" spans="1:5" x14ac:dyDescent="0.35">
      <c r="A55" s="16"/>
      <c r="B55" s="16"/>
      <c r="C55" s="16"/>
      <c r="D55" s="16"/>
      <c r="E55" s="16"/>
    </row>
    <row r="56" spans="1:5" x14ac:dyDescent="0.35">
      <c r="A56" s="16"/>
      <c r="B56" s="16"/>
      <c r="C56" s="16"/>
      <c r="D56" s="16"/>
      <c r="E56" s="16"/>
    </row>
    <row r="57" spans="1:5" x14ac:dyDescent="0.35">
      <c r="A57" s="16"/>
      <c r="B57" s="16"/>
      <c r="C57" s="16"/>
      <c r="D57" s="16"/>
      <c r="E57" s="16"/>
    </row>
    <row r="58" spans="1:5" x14ac:dyDescent="0.35">
      <c r="A58" s="16"/>
      <c r="B58" s="16"/>
      <c r="C58" s="16"/>
      <c r="D58" s="16"/>
      <c r="E58" s="16"/>
    </row>
    <row r="59" spans="1:5" x14ac:dyDescent="0.35">
      <c r="A59" s="16"/>
      <c r="B59" s="16"/>
      <c r="C59" s="16"/>
      <c r="D59" s="16"/>
      <c r="E59" s="16"/>
    </row>
    <row r="60" spans="1:5" x14ac:dyDescent="0.35">
      <c r="A60" s="16"/>
      <c r="B60" s="16"/>
      <c r="C60" s="16"/>
      <c r="D60" s="16"/>
      <c r="E60" s="16"/>
    </row>
    <row r="61" spans="1:5" x14ac:dyDescent="0.35">
      <c r="A61" s="16"/>
      <c r="B61" s="16"/>
      <c r="C61" s="16"/>
      <c r="D61" s="16"/>
      <c r="E61" s="16"/>
    </row>
    <row r="62" spans="1:5" x14ac:dyDescent="0.35">
      <c r="A62" s="16"/>
      <c r="B62" s="16"/>
      <c r="C62" s="16"/>
      <c r="D62" s="16"/>
      <c r="E62" s="16"/>
    </row>
    <row r="63" spans="1:5" x14ac:dyDescent="0.35">
      <c r="A63" s="16"/>
      <c r="B63" s="16"/>
      <c r="C63" s="16"/>
      <c r="D63" s="16"/>
      <c r="E63" s="16"/>
    </row>
    <row r="64" spans="1:5" x14ac:dyDescent="0.35">
      <c r="A64" s="16"/>
      <c r="B64" s="16"/>
      <c r="C64" s="16"/>
      <c r="D64" s="16"/>
      <c r="E64" s="16"/>
    </row>
    <row r="65" spans="1:5" x14ac:dyDescent="0.35">
      <c r="A65" s="16"/>
      <c r="B65" s="16"/>
      <c r="C65" s="16"/>
      <c r="D65" s="16"/>
      <c r="E65" s="16"/>
    </row>
    <row r="66" spans="1:5" x14ac:dyDescent="0.35">
      <c r="A66" s="16"/>
      <c r="B66" s="16"/>
      <c r="C66" s="16"/>
      <c r="D66" s="16"/>
      <c r="E66" s="16"/>
    </row>
    <row r="67" spans="1:5" x14ac:dyDescent="0.35">
      <c r="A67" s="16"/>
      <c r="B67" s="16"/>
      <c r="C67" s="16"/>
      <c r="D67" s="16"/>
      <c r="E67" s="16"/>
    </row>
    <row r="68" spans="1:5" x14ac:dyDescent="0.35">
      <c r="A68" s="16"/>
      <c r="B68" s="16"/>
      <c r="C68" s="16"/>
      <c r="D68" s="16"/>
      <c r="E68" s="16"/>
    </row>
    <row r="69" spans="1:5" x14ac:dyDescent="0.35">
      <c r="A69" s="16"/>
      <c r="B69" s="16"/>
      <c r="C69" s="16"/>
      <c r="D69" s="16"/>
      <c r="E69" s="16"/>
    </row>
    <row r="70" spans="1:5" x14ac:dyDescent="0.35">
      <c r="A70" s="16"/>
      <c r="B70" s="16"/>
      <c r="C70" s="16"/>
      <c r="D70" s="16"/>
      <c r="E70" s="16"/>
    </row>
    <row r="71" spans="1:5" x14ac:dyDescent="0.35">
      <c r="A71" s="16"/>
      <c r="B71" s="16"/>
      <c r="C71" s="16"/>
      <c r="D71" s="16"/>
      <c r="E71" s="16"/>
    </row>
    <row r="72" spans="1:5" x14ac:dyDescent="0.35">
      <c r="A72" s="16"/>
      <c r="B72" s="16"/>
      <c r="C72" s="16"/>
      <c r="D72" s="16"/>
      <c r="E72" s="16"/>
    </row>
    <row r="73" spans="1:5" x14ac:dyDescent="0.35">
      <c r="A73" s="16"/>
      <c r="B73" s="16"/>
      <c r="C73" s="16"/>
      <c r="D73" s="16"/>
      <c r="E73" s="16"/>
    </row>
    <row r="74" spans="1:5" x14ac:dyDescent="0.35">
      <c r="A74" s="16"/>
      <c r="B74" s="16"/>
      <c r="C74" s="16"/>
      <c r="D74" s="16"/>
      <c r="E74" s="16"/>
    </row>
    <row r="75" spans="1:5" x14ac:dyDescent="0.35">
      <c r="A75" s="16"/>
      <c r="B75" s="16"/>
      <c r="C75" s="16"/>
      <c r="D75" s="16"/>
      <c r="E75" s="16"/>
    </row>
    <row r="76" spans="1:5" x14ac:dyDescent="0.35">
      <c r="A76" s="16"/>
      <c r="B76" s="16"/>
      <c r="C76" s="16"/>
      <c r="D76" s="16"/>
      <c r="E76" s="16"/>
    </row>
    <row r="77" spans="1:5" x14ac:dyDescent="0.35">
      <c r="A77" s="16"/>
      <c r="B77" s="16"/>
      <c r="C77" s="16"/>
      <c r="D77" s="16"/>
      <c r="E77" s="16"/>
    </row>
    <row r="78" spans="1:5" x14ac:dyDescent="0.35">
      <c r="A78" s="16"/>
      <c r="B78" s="16"/>
      <c r="C78" s="16"/>
      <c r="D78" s="16"/>
      <c r="E78" s="16"/>
    </row>
    <row r="79" spans="1:5" x14ac:dyDescent="0.35">
      <c r="A79" s="16"/>
      <c r="B79" s="16"/>
      <c r="C79" s="16"/>
      <c r="D79" s="16"/>
      <c r="E79" s="16"/>
    </row>
    <row r="80" spans="1:5" x14ac:dyDescent="0.35">
      <c r="A80" s="16"/>
      <c r="B80" s="16"/>
      <c r="C80" s="16"/>
      <c r="D80" s="16"/>
      <c r="E80" s="16"/>
    </row>
    <row r="81" spans="1:5" x14ac:dyDescent="0.35">
      <c r="A81" s="16"/>
      <c r="B81" s="16"/>
      <c r="C81" s="16"/>
      <c r="D81" s="16"/>
      <c r="E81" s="16"/>
    </row>
    <row r="82" spans="1:5" x14ac:dyDescent="0.35">
      <c r="A82" s="16"/>
      <c r="B82" s="16"/>
      <c r="C82" s="16"/>
      <c r="D82" s="16"/>
      <c r="E82" s="16"/>
    </row>
    <row r="83" spans="1:5" x14ac:dyDescent="0.35">
      <c r="A83" s="16"/>
      <c r="B83" s="16"/>
      <c r="C83" s="16"/>
      <c r="D83" s="16"/>
      <c r="E83" s="16"/>
    </row>
    <row r="84" spans="1:5" x14ac:dyDescent="0.35">
      <c r="A84" s="16"/>
      <c r="B84" s="16"/>
      <c r="C84" s="16"/>
      <c r="D84" s="16"/>
      <c r="E84" s="16"/>
    </row>
    <row r="85" spans="1:5" x14ac:dyDescent="0.35">
      <c r="A85" s="16"/>
      <c r="B85" s="16"/>
      <c r="C85" s="16"/>
      <c r="D85" s="16"/>
      <c r="E85" s="16"/>
    </row>
    <row r="86" spans="1:5" x14ac:dyDescent="0.35">
      <c r="A86" s="16"/>
      <c r="B86" s="16"/>
      <c r="C86" s="16"/>
      <c r="D86" s="16"/>
      <c r="E86" s="16"/>
    </row>
    <row r="87" spans="1:5" x14ac:dyDescent="0.35">
      <c r="A87" s="16"/>
      <c r="B87" s="16"/>
      <c r="C87" s="16"/>
      <c r="D87" s="16"/>
      <c r="E87" s="16"/>
    </row>
    <row r="88" spans="1:5" x14ac:dyDescent="0.35">
      <c r="A88" s="16"/>
      <c r="B88" s="16"/>
      <c r="C88" s="16"/>
      <c r="D88" s="16"/>
      <c r="E88" s="16"/>
    </row>
    <row r="89" spans="1:5" x14ac:dyDescent="0.35">
      <c r="A89" s="16"/>
      <c r="B89" s="16"/>
      <c r="C89" s="16"/>
      <c r="D89" s="16"/>
      <c r="E89" s="16"/>
    </row>
    <row r="90" spans="1:5" x14ac:dyDescent="0.35">
      <c r="A90" s="16"/>
      <c r="B90" s="16"/>
      <c r="C90" s="16"/>
      <c r="D90" s="16"/>
      <c r="E90" s="16"/>
    </row>
    <row r="91" spans="1:5" x14ac:dyDescent="0.35">
      <c r="A91" s="16"/>
      <c r="B91" s="16"/>
      <c r="C91" s="16"/>
      <c r="D91" s="16"/>
      <c r="E91" s="16"/>
    </row>
    <row r="92" spans="1:5" x14ac:dyDescent="0.35">
      <c r="A92" s="16"/>
      <c r="B92" s="16"/>
      <c r="C92" s="16"/>
      <c r="D92" s="16"/>
      <c r="E92" s="16"/>
    </row>
    <row r="93" spans="1:5" x14ac:dyDescent="0.35">
      <c r="A93" s="16"/>
      <c r="B93" s="16"/>
      <c r="C93" s="16"/>
      <c r="D93" s="16"/>
      <c r="E93" s="16"/>
    </row>
    <row r="94" spans="1:5" x14ac:dyDescent="0.35">
      <c r="A94" s="16"/>
      <c r="B94" s="16"/>
      <c r="C94" s="16"/>
      <c r="D94" s="16"/>
      <c r="E94" s="16"/>
    </row>
    <row r="95" spans="1:5" x14ac:dyDescent="0.35">
      <c r="A95" s="16"/>
      <c r="B95" s="16"/>
      <c r="C95" s="16"/>
      <c r="D95" s="16"/>
      <c r="E95" s="16"/>
    </row>
    <row r="96" spans="1:5" x14ac:dyDescent="0.35">
      <c r="A96" s="16"/>
      <c r="B96" s="16"/>
      <c r="C96" s="16"/>
      <c r="D96" s="16"/>
      <c r="E96" s="16"/>
    </row>
    <row r="97" spans="1:5" x14ac:dyDescent="0.35">
      <c r="A97" s="16"/>
      <c r="B97" s="16"/>
      <c r="C97" s="16"/>
      <c r="D97" s="16"/>
      <c r="E97" s="16"/>
    </row>
    <row r="98" spans="1:5" x14ac:dyDescent="0.35">
      <c r="A98" s="16"/>
      <c r="B98" s="16"/>
      <c r="C98" s="16"/>
      <c r="D98" s="16"/>
      <c r="E98" s="16"/>
    </row>
    <row r="99" spans="1:5" x14ac:dyDescent="0.35">
      <c r="A99" s="16"/>
      <c r="B99" s="16"/>
      <c r="C99" s="16"/>
      <c r="D99" s="16"/>
      <c r="E99" s="16"/>
    </row>
    <row r="100" spans="1:5" x14ac:dyDescent="0.35">
      <c r="A100" s="16"/>
      <c r="B100" s="16"/>
      <c r="C100" s="16"/>
      <c r="D100" s="16"/>
      <c r="E100" s="16"/>
    </row>
    <row r="101" spans="1:5" x14ac:dyDescent="0.35">
      <c r="A101" s="16"/>
      <c r="B101" s="16"/>
      <c r="C101" s="16"/>
      <c r="D101" s="16"/>
      <c r="E101" s="16"/>
    </row>
    <row r="102" spans="1:5" x14ac:dyDescent="0.35">
      <c r="A102" s="16"/>
      <c r="B102" s="16"/>
      <c r="C102" s="16"/>
      <c r="D102" s="16"/>
      <c r="E102" s="16"/>
    </row>
    <row r="103" spans="1:5" x14ac:dyDescent="0.35">
      <c r="A103" s="16"/>
      <c r="B103" s="16"/>
      <c r="C103" s="16"/>
      <c r="D103" s="16"/>
      <c r="E103" s="16"/>
    </row>
    <row r="104" spans="1:5" x14ac:dyDescent="0.35">
      <c r="A104" s="16"/>
      <c r="B104" s="16"/>
      <c r="C104" s="16"/>
      <c r="D104" s="16"/>
      <c r="E104" s="16"/>
    </row>
    <row r="105" spans="1:5" x14ac:dyDescent="0.35">
      <c r="A105" s="16"/>
      <c r="B105" s="16"/>
      <c r="C105" s="16"/>
      <c r="D105" s="16"/>
      <c r="E105" s="16"/>
    </row>
    <row r="106" spans="1:5" x14ac:dyDescent="0.35">
      <c r="A106" s="16"/>
      <c r="B106" s="16"/>
      <c r="C106" s="16"/>
      <c r="D106" s="16"/>
      <c r="E106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mortizacionBono">
                <anchor moveWithCells="1" sizeWithCells="1">
                  <from>
                    <xdr:col>5</xdr:col>
                    <xdr:colOff>0</xdr:colOff>
                    <xdr:row>6</xdr:row>
                    <xdr:rowOff>114300</xdr:rowOff>
                  </from>
                  <to>
                    <xdr:col>8</xdr:col>
                    <xdr:colOff>527050</xdr:colOff>
                    <xdr:row>8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3AFAA-185C-4525-950D-DA6250271E17}">
  <sheetPr codeName="Sheet2"/>
  <dimension ref="A4:AH106"/>
  <sheetViews>
    <sheetView tabSelected="1" topLeftCell="W48" zoomScale="140" zoomScaleNormal="140" workbookViewId="0">
      <selection activeCell="AH51" sqref="AH51"/>
    </sheetView>
  </sheetViews>
  <sheetFormatPr defaultRowHeight="14.5" x14ac:dyDescent="0.35"/>
  <cols>
    <col min="1" max="1" width="28" bestFit="1" customWidth="1"/>
    <col min="2" max="2" width="10.453125" bestFit="1" customWidth="1"/>
    <col min="3" max="3" width="9.36328125" bestFit="1" customWidth="1"/>
    <col min="5" max="5" width="14.453125" bestFit="1" customWidth="1"/>
    <col min="7" max="7" width="10.36328125" bestFit="1" customWidth="1"/>
    <col min="9" max="9" width="21.6328125" bestFit="1" customWidth="1"/>
    <col min="11" max="11" width="13.90625" bestFit="1" customWidth="1"/>
    <col min="20" max="20" width="21.6328125" bestFit="1" customWidth="1"/>
    <col min="22" max="22" width="24.6328125" bestFit="1" customWidth="1"/>
    <col min="23" max="23" width="41.81640625" bestFit="1" customWidth="1"/>
    <col min="24" max="24" width="10.6328125" bestFit="1" customWidth="1"/>
    <col min="25" max="26" width="10.453125" bestFit="1" customWidth="1"/>
    <col min="33" max="33" width="10.6328125" bestFit="1" customWidth="1"/>
  </cols>
  <sheetData>
    <row r="4" spans="3:26" x14ac:dyDescent="0.35">
      <c r="C4">
        <v>0</v>
      </c>
      <c r="G4" cm="1">
        <f t="array" ref="G4">BBasica(4,1000,1000,0.05,0.06)</f>
        <v>965.34894387300346</v>
      </c>
      <c r="I4" t="s">
        <v>18</v>
      </c>
      <c r="J4">
        <v>0.06</v>
      </c>
      <c r="O4" t="s">
        <v>21</v>
      </c>
      <c r="P4">
        <v>2000</v>
      </c>
    </row>
    <row r="5" spans="3:26" x14ac:dyDescent="0.35">
      <c r="C5">
        <v>1</v>
      </c>
      <c r="D5">
        <f>$J$7*$J$5</f>
        <v>50</v>
      </c>
      <c r="E5">
        <f>D5-(D5-$J$6*$J$4)*(1+$J$4)^-$J$8</f>
        <v>57.920936632380204</v>
      </c>
      <c r="F5">
        <f>D5-E5</f>
        <v>-7.9209366323802044</v>
      </c>
      <c r="G5">
        <f>G4-F5</f>
        <v>973.26988050538364</v>
      </c>
      <c r="I5" t="s">
        <v>19</v>
      </c>
      <c r="J5">
        <v>0.05</v>
      </c>
      <c r="O5" t="s">
        <v>20</v>
      </c>
      <c r="P5">
        <v>2000</v>
      </c>
      <c r="V5" t="s">
        <v>37</v>
      </c>
      <c r="W5" t="s">
        <v>38</v>
      </c>
    </row>
    <row r="6" spans="3:26" x14ac:dyDescent="0.35">
      <c r="C6">
        <v>2</v>
      </c>
      <c r="D6">
        <f t="shared" ref="D6:D7" si="0">$J$7*$J$5</f>
        <v>50</v>
      </c>
      <c r="E6">
        <f t="shared" ref="E6:E7" si="1">D6-(D6-$J$6*$J$4)*(1+$J$4)^-$J$8</f>
        <v>57.920936632380204</v>
      </c>
      <c r="F6">
        <f t="shared" ref="F6:F8" si="2">D6-E6</f>
        <v>-7.9209366323802044</v>
      </c>
      <c r="G6">
        <f t="shared" ref="G6:G8" si="3">G5-F6</f>
        <v>981.19081713776382</v>
      </c>
      <c r="I6" t="s">
        <v>20</v>
      </c>
      <c r="J6">
        <v>1000</v>
      </c>
      <c r="O6" t="s">
        <v>23</v>
      </c>
      <c r="P6">
        <v>1812.3589179999999</v>
      </c>
      <c r="S6" t="s">
        <v>34</v>
      </c>
      <c r="T6">
        <v>3.1004459549999999E-2</v>
      </c>
      <c r="V6" s="21" cm="1">
        <f t="array" ref="V6">BBasica($T$13,$T$10,$T$11,$T$12,T6)</f>
        <v>96.758070492891989</v>
      </c>
      <c r="W6">
        <f>$T$14-V6</f>
        <v>-8.0704928919885788E-3</v>
      </c>
    </row>
    <row r="7" spans="3:26" x14ac:dyDescent="0.35">
      <c r="C7">
        <v>3</v>
      </c>
      <c r="D7">
        <f t="shared" si="0"/>
        <v>50</v>
      </c>
      <c r="E7">
        <f t="shared" si="1"/>
        <v>57.920936632380204</v>
      </c>
      <c r="F7">
        <f t="shared" si="2"/>
        <v>-7.9209366323802044</v>
      </c>
      <c r="G7">
        <f t="shared" si="3"/>
        <v>989.11175377014399</v>
      </c>
      <c r="I7" t="s">
        <v>21</v>
      </c>
      <c r="J7">
        <v>1000</v>
      </c>
      <c r="O7" t="s">
        <v>19</v>
      </c>
      <c r="P7" s="9">
        <v>2.5000000000000001E-2</v>
      </c>
      <c r="S7" t="s">
        <v>35</v>
      </c>
      <c r="T7">
        <v>3.091910208E-2</v>
      </c>
      <c r="V7" s="21" cm="1">
        <f t="array" ref="V7">BBasica($T$13,$T$10,$T$11,$T$12,T7)</f>
        <v>96.803254024934716</v>
      </c>
      <c r="W7">
        <f t="shared" ref="W7:W8" si="4">$T$14-V7</f>
        <v>-5.3254024934716426E-2</v>
      </c>
    </row>
    <row r="8" spans="3:26" x14ac:dyDescent="0.35">
      <c r="C8">
        <v>4</v>
      </c>
      <c r="D8">
        <f>D5+J6</f>
        <v>1050</v>
      </c>
      <c r="E8">
        <f>D7-(D7-$J$6*$J$4)*(1+$J$4)^-$J$8</f>
        <v>57.920936632380204</v>
      </c>
      <c r="F8">
        <f t="shared" si="2"/>
        <v>992.07906336761982</v>
      </c>
      <c r="G8">
        <f t="shared" si="3"/>
        <v>-2.9673095974758326</v>
      </c>
      <c r="I8" t="s">
        <v>22</v>
      </c>
      <c r="J8">
        <v>4</v>
      </c>
      <c r="O8" t="s">
        <v>24</v>
      </c>
      <c r="P8">
        <v>24</v>
      </c>
      <c r="S8" t="s">
        <v>36</v>
      </c>
      <c r="T8" s="20">
        <v>3.1019710799999999E-2</v>
      </c>
      <c r="V8" s="22" cm="1">
        <f t="array" ref="V8">BBasica($T$13,$T$10,$T$11,$T$12,T8)</f>
        <v>96.750000022515209</v>
      </c>
      <c r="W8" s="23">
        <f t="shared" si="4"/>
        <v>-2.2515209252560453E-8</v>
      </c>
    </row>
    <row r="9" spans="3:26" x14ac:dyDescent="0.35">
      <c r="V9" s="21"/>
    </row>
    <row r="10" spans="3:26" x14ac:dyDescent="0.35">
      <c r="O10" t="s">
        <v>25</v>
      </c>
      <c r="P10" s="12">
        <v>3.0574181926627933E-2</v>
      </c>
      <c r="S10" t="s">
        <v>21</v>
      </c>
      <c r="T10">
        <v>100</v>
      </c>
    </row>
    <row r="11" spans="3:26" x14ac:dyDescent="0.35">
      <c r="O11" t="s">
        <v>26</v>
      </c>
      <c r="P11" cm="1">
        <f t="array" ref="P11">P4*P7*AnualidadVP(P8,P10)+P5*(1+P10)^-P8</f>
        <v>1812.358917641445</v>
      </c>
      <c r="S11" t="s">
        <v>20</v>
      </c>
      <c r="T11">
        <v>100</v>
      </c>
    </row>
    <row r="12" spans="3:26" x14ac:dyDescent="0.35">
      <c r="O12" t="s">
        <v>27</v>
      </c>
      <c r="P12" s="10">
        <f>P11-P6</f>
        <v>-3.5855487112712581E-7</v>
      </c>
      <c r="S12" t="s">
        <v>19</v>
      </c>
      <c r="T12">
        <v>2.5000000000000001E-2</v>
      </c>
    </row>
    <row r="13" spans="3:26" x14ac:dyDescent="0.35">
      <c r="I13" t="s">
        <v>21</v>
      </c>
      <c r="J13">
        <v>1000</v>
      </c>
      <c r="S13" t="s">
        <v>24</v>
      </c>
      <c r="T13">
        <v>6</v>
      </c>
    </row>
    <row r="14" spans="3:26" x14ac:dyDescent="0.35">
      <c r="I14" t="s">
        <v>20</v>
      </c>
      <c r="J14">
        <v>1020</v>
      </c>
      <c r="S14" t="s">
        <v>23</v>
      </c>
      <c r="T14">
        <v>96.75</v>
      </c>
    </row>
    <row r="15" spans="3:26" x14ac:dyDescent="0.35">
      <c r="I15" t="s">
        <v>23</v>
      </c>
      <c r="J15">
        <v>850</v>
      </c>
      <c r="X15">
        <v>1050</v>
      </c>
      <c r="Y15">
        <v>8</v>
      </c>
      <c r="Z15" cm="1">
        <f t="array" ref="Z15">BBasica(Y15,1000,X15,0.02,0.025)</f>
        <v>1005.186642703273</v>
      </c>
    </row>
    <row r="16" spans="3:26" x14ac:dyDescent="0.35">
      <c r="I16" t="s">
        <v>19</v>
      </c>
      <c r="J16">
        <v>6.5000000000000002E-2</v>
      </c>
      <c r="X16">
        <v>1050</v>
      </c>
      <c r="Y16">
        <v>12</v>
      </c>
      <c r="Z16" cm="1">
        <f t="array" ref="Z16">BBasica(Y16,1000,X16,0.02,0.025)</f>
        <v>985.88897126132713</v>
      </c>
    </row>
    <row r="17" spans="3:26" x14ac:dyDescent="0.35">
      <c r="C17" s="8" cm="1">
        <f t="array" ref="C17">Taylor_rate(2,100,100,0.02,98.51)</f>
        <v>2.7760220463681616E-2</v>
      </c>
      <c r="F17" t="s">
        <v>28</v>
      </c>
      <c r="G17" s="11" cm="1">
        <f t="array" ref="G17">NewtonRaphson_rate(1000,0.065,15,0.08,1020,850,2)</f>
        <v>8.3629500118045111E-2</v>
      </c>
      <c r="I17" t="s">
        <v>24</v>
      </c>
      <c r="J17">
        <v>15</v>
      </c>
      <c r="X17">
        <v>1025</v>
      </c>
      <c r="Y17">
        <v>14</v>
      </c>
      <c r="Z17" cm="1">
        <f t="array" ref="Z17">BBasica(Y17,1000,X17,0.02,0.025)</f>
        <v>959.23861904599119</v>
      </c>
    </row>
    <row r="18" spans="3:26" x14ac:dyDescent="0.35">
      <c r="C18" cm="1">
        <f t="array" ref="C18">Salesman_rate(2,100,100,0.02,98.51)</f>
        <v>2.7656037479220165E-2</v>
      </c>
      <c r="G18">
        <f>G17*2</f>
        <v>0.16725900023609022</v>
      </c>
      <c r="X18">
        <v>1025</v>
      </c>
      <c r="Y18">
        <v>18</v>
      </c>
      <c r="Z18" cm="1">
        <f t="array" ref="Z18">BBasica(Y18,1000,X18,0.02,0.025)</f>
        <v>944.26232960173832</v>
      </c>
    </row>
    <row r="19" spans="3:26" x14ac:dyDescent="0.35">
      <c r="C19" cm="1">
        <f t="array" ref="C19">NewtonRaphson_rate(4,1000,1000,0.04,900,4,0.068421)</f>
        <v>0.04</v>
      </c>
      <c r="I19" s="13" cm="1">
        <f t="array" ref="I19">BBasica($J$17,$J$13,$J$14,$J$16,G20)</f>
        <v>865.14901811410721</v>
      </c>
      <c r="X19">
        <v>1000</v>
      </c>
      <c r="Y19">
        <v>20</v>
      </c>
      <c r="Z19" cm="1">
        <f t="array" ref="Z19">BBasica(Y19,1000,X19,0.02,0.025)</f>
        <v>922.05418857176608</v>
      </c>
    </row>
    <row r="20" spans="3:26" x14ac:dyDescent="0.35">
      <c r="G20">
        <v>8.1639928700000003E-2</v>
      </c>
      <c r="I20" s="13" cm="1">
        <f t="array" ref="I20">BBasica($J$17,$J$13,$J$14,$J$16,G21)</f>
        <v>861.32600741741226</v>
      </c>
    </row>
    <row r="21" spans="3:26" x14ac:dyDescent="0.35">
      <c r="G21">
        <v>8.2137731500000005E-2</v>
      </c>
      <c r="I21" s="13" cm="1">
        <f t="array" ref="I21">BBasica($J$17,$J$13,$J$14,$J$16,G22)</f>
        <v>850.00030668780857</v>
      </c>
    </row>
    <row r="22" spans="3:26" x14ac:dyDescent="0.35">
      <c r="G22">
        <v>8.3630853140000003E-2</v>
      </c>
    </row>
    <row r="26" spans="3:26" x14ac:dyDescent="0.35">
      <c r="I26">
        <f>P10*100</f>
        <v>3.0574181926627935</v>
      </c>
      <c r="W26" cm="1">
        <f t="array" ref="W26">BVadvanced(20,19,0.2,0.03,0.025,200,200,"Dirty","Practical")</f>
        <v>201.98048780487804</v>
      </c>
    </row>
    <row r="28" spans="3:26" x14ac:dyDescent="0.35">
      <c r="D28">
        <v>1</v>
      </c>
      <c r="E28" s="11" cm="1">
        <f t="array" ref="E28">NewtonRaphson_rate(100,0.02,2,0.03,100,98.51,D28)</f>
        <v>2.771128294369193E-2</v>
      </c>
    </row>
    <row r="29" spans="3:26" x14ac:dyDescent="0.35">
      <c r="D29">
        <v>2</v>
      </c>
      <c r="E29" s="11" cm="1">
        <f t="array" ref="E29">NewtonRaphson_rate(100,0.02,2,0.03,100,98.51,D29)</f>
        <v>2.77626170956994E-2</v>
      </c>
    </row>
    <row r="30" spans="3:26" x14ac:dyDescent="0.35">
      <c r="D30">
        <v>3</v>
      </c>
      <c r="E30" s="11" cm="1">
        <f t="array" ref="E30">NewtonRaphson_rate(100,0.02,2,0.03,100,98.51,D30)</f>
        <v>2.7761633703600384E-2</v>
      </c>
    </row>
    <row r="31" spans="3:26" x14ac:dyDescent="0.35">
      <c r="D31">
        <v>4</v>
      </c>
      <c r="E31" s="11" cm="1">
        <f t="array" ref="E31">NewtonRaphson_rate(100,0.02,2,0.03,100,98.51,D31)</f>
        <v>2.7761652614506634E-2</v>
      </c>
      <c r="G31">
        <f>E31/2</f>
        <v>1.3880826307253317E-2</v>
      </c>
      <c r="O31" cm="1">
        <f t="array" ref="O31">NewtonRaphson_rate(2000,0.025,24,0.03,2000,1812.358918,4)</f>
        <v>3.0574181879768545E-2</v>
      </c>
    </row>
    <row r="32" spans="3:26" x14ac:dyDescent="0.35">
      <c r="U32">
        <v>1020</v>
      </c>
      <c r="V32">
        <v>4</v>
      </c>
      <c r="W32" s="21" cm="1">
        <f t="array" ref="W32">BBasica(V32,1000,U32,0.02515625,0.035)</f>
        <v>981.2719710941949</v>
      </c>
    </row>
    <row r="33" spans="1:23" x14ac:dyDescent="0.35">
      <c r="U33">
        <v>1020</v>
      </c>
      <c r="V33">
        <v>6</v>
      </c>
      <c r="W33" cm="1">
        <f t="array" ref="W33">BBasica(V33,1000,U33,0.02515625,0.035)</f>
        <v>963.81706909771049</v>
      </c>
    </row>
    <row r="34" spans="1:23" x14ac:dyDescent="0.35">
      <c r="U34">
        <v>1010</v>
      </c>
      <c r="V34">
        <v>7</v>
      </c>
      <c r="W34" cm="1">
        <f t="array" ref="W34">BBasica(V34,1000,U34,0.02515625,0.035)</f>
        <v>947.66986729916232</v>
      </c>
    </row>
    <row r="35" spans="1:23" x14ac:dyDescent="0.35">
      <c r="U35">
        <v>1010</v>
      </c>
      <c r="V35">
        <v>8</v>
      </c>
      <c r="W35" cm="1">
        <f t="array" ref="W35">BBasica(V35,1000,U35,0.02515625,0.035)</f>
        <v>939.92861574798303</v>
      </c>
    </row>
    <row r="36" spans="1:23" x14ac:dyDescent="0.35">
      <c r="U36">
        <v>1000</v>
      </c>
      <c r="V36">
        <v>10</v>
      </c>
      <c r="W36" cm="1">
        <f t="array" ref="W36">BBasica(V36,1000,U36,0.02515625,0.035)</f>
        <v>918.13341635587335</v>
      </c>
    </row>
    <row r="37" spans="1:23" x14ac:dyDescent="0.35">
      <c r="A37" s="26">
        <v>44203</v>
      </c>
      <c r="B37" s="25">
        <v>44203</v>
      </c>
    </row>
    <row r="38" spans="1:23" x14ac:dyDescent="0.35">
      <c r="A38" s="26">
        <f>128+A37</f>
        <v>44331</v>
      </c>
      <c r="B38" s="25">
        <f>128+B37</f>
        <v>44331</v>
      </c>
      <c r="C38">
        <f>B38-B37</f>
        <v>128</v>
      </c>
      <c r="W38">
        <f>MAX(W32:W36)</f>
        <v>981.2719710941949</v>
      </c>
    </row>
    <row r="39" spans="1:23" x14ac:dyDescent="0.35">
      <c r="A39" s="26">
        <f t="shared" ref="A39:B41" si="5">128+A38</f>
        <v>44459</v>
      </c>
      <c r="B39" s="25">
        <f t="shared" si="5"/>
        <v>44459</v>
      </c>
      <c r="C39">
        <f t="shared" ref="C39:C41" si="6">B39-B38</f>
        <v>128</v>
      </c>
    </row>
    <row r="40" spans="1:23" x14ac:dyDescent="0.35">
      <c r="A40" s="26">
        <f t="shared" si="5"/>
        <v>44587</v>
      </c>
      <c r="B40" s="25">
        <f t="shared" si="5"/>
        <v>44587</v>
      </c>
      <c r="C40">
        <f t="shared" si="6"/>
        <v>128</v>
      </c>
      <c r="U40" t="s">
        <v>28</v>
      </c>
      <c r="V40" t="s">
        <v>37</v>
      </c>
      <c r="W40" t="s">
        <v>40</v>
      </c>
    </row>
    <row r="41" spans="1:23" x14ac:dyDescent="0.35">
      <c r="A41" s="26">
        <f t="shared" si="5"/>
        <v>44715</v>
      </c>
      <c r="B41" s="25">
        <f t="shared" si="5"/>
        <v>44715</v>
      </c>
      <c r="C41">
        <f t="shared" si="6"/>
        <v>128</v>
      </c>
      <c r="T41" t="s">
        <v>34</v>
      </c>
      <c r="U41">
        <v>7.0351758789999996E-2</v>
      </c>
      <c r="V41" s="22" cm="1">
        <f t="array" ref="V41">BBasica($U$50,$U$46,$U$47,$U$48,U41)</f>
        <v>190.54914166897754</v>
      </c>
      <c r="W41" s="22">
        <f>V41-$U$49</f>
        <v>0.54914166897754058</v>
      </c>
    </row>
    <row r="42" spans="1:23" x14ac:dyDescent="0.35">
      <c r="T42" t="s">
        <v>39</v>
      </c>
      <c r="U42">
        <v>7.0000000000000007E-2</v>
      </c>
      <c r="V42" s="24" cm="1">
        <f t="array" ref="V42">BBasica($U$50,$U$46,$U$47,$U$48,U42)</f>
        <v>191.03632983948197</v>
      </c>
      <c r="W42" s="24">
        <f t="shared" ref="W42:W43" si="7">V42-$U$49</f>
        <v>1.0363298394819651</v>
      </c>
    </row>
    <row r="43" spans="1:23" x14ac:dyDescent="0.35">
      <c r="T43" t="s">
        <v>36</v>
      </c>
      <c r="U43">
        <v>7.0748337130000005E-2</v>
      </c>
      <c r="V43" s="24" cm="1">
        <f t="array" ref="V43">BBasica($U$50,$U$46,$U$47,$U$48,U43)</f>
        <v>190.00180186704591</v>
      </c>
      <c r="W43" s="24">
        <f t="shared" si="7"/>
        <v>1.8018670459127861E-3</v>
      </c>
    </row>
    <row r="44" spans="1:23" x14ac:dyDescent="0.35">
      <c r="B44" s="27">
        <v>44203</v>
      </c>
    </row>
    <row r="45" spans="1:23" x14ac:dyDescent="0.35">
      <c r="B45" s="28">
        <v>44330</v>
      </c>
      <c r="C45">
        <f>B45-B44</f>
        <v>127</v>
      </c>
    </row>
    <row r="46" spans="1:23" x14ac:dyDescent="0.35">
      <c r="B46" s="28">
        <v>44459</v>
      </c>
      <c r="C46">
        <f t="shared" ref="C46:C48" si="8">B46-B45</f>
        <v>129</v>
      </c>
      <c r="T46" t="s">
        <v>21</v>
      </c>
      <c r="U46">
        <v>200</v>
      </c>
    </row>
    <row r="47" spans="1:23" x14ac:dyDescent="0.35">
      <c r="B47" s="28">
        <v>44587</v>
      </c>
      <c r="C47">
        <f t="shared" si="8"/>
        <v>128</v>
      </c>
      <c r="T47" t="s">
        <v>20</v>
      </c>
      <c r="U47">
        <v>210</v>
      </c>
    </row>
    <row r="48" spans="1:23" x14ac:dyDescent="0.35">
      <c r="B48" s="29">
        <v>44715</v>
      </c>
      <c r="C48">
        <f t="shared" si="8"/>
        <v>128</v>
      </c>
      <c r="T48" t="s">
        <v>19</v>
      </c>
      <c r="U48">
        <v>0.06</v>
      </c>
    </row>
    <row r="49" spans="20:34" x14ac:dyDescent="0.35">
      <c r="T49" t="s">
        <v>37</v>
      </c>
      <c r="U49">
        <v>190</v>
      </c>
    </row>
    <row r="50" spans="20:34" x14ac:dyDescent="0.35">
      <c r="T50" t="s">
        <v>24</v>
      </c>
      <c r="U50">
        <v>10</v>
      </c>
      <c r="AG50" s="25">
        <v>44061</v>
      </c>
    </row>
    <row r="51" spans="20:34" x14ac:dyDescent="0.35">
      <c r="AD51" t="s">
        <v>44</v>
      </c>
      <c r="AE51">
        <v>1000</v>
      </c>
      <c r="AG51" s="25">
        <v>44183</v>
      </c>
      <c r="AH51">
        <f>AG51-AG50</f>
        <v>122</v>
      </c>
    </row>
    <row r="52" spans="20:34" x14ac:dyDescent="0.35">
      <c r="X52" s="25">
        <v>43834</v>
      </c>
      <c r="AD52" t="s">
        <v>20</v>
      </c>
      <c r="AE52">
        <v>1000</v>
      </c>
    </row>
    <row r="53" spans="20:34" x14ac:dyDescent="0.35">
      <c r="X53" s="25">
        <f>30+X52</f>
        <v>43864</v>
      </c>
      <c r="Y53">
        <f>X53-X52</f>
        <v>30</v>
      </c>
      <c r="AC53" t="s">
        <v>46</v>
      </c>
      <c r="AD53" t="s">
        <v>45</v>
      </c>
      <c r="AE53">
        <v>0.09</v>
      </c>
    </row>
    <row r="54" spans="20:34" x14ac:dyDescent="0.35">
      <c r="X54" s="25">
        <f t="shared" ref="X54:X56" si="9">30+X53</f>
        <v>43894</v>
      </c>
      <c r="Y54">
        <f t="shared" ref="Y54:Y56" si="10">X54-X53</f>
        <v>30</v>
      </c>
      <c r="AD54" t="s">
        <v>28</v>
      </c>
      <c r="AE54">
        <v>0.08</v>
      </c>
    </row>
    <row r="55" spans="20:34" x14ac:dyDescent="0.35">
      <c r="X55" s="25">
        <f t="shared" si="9"/>
        <v>43924</v>
      </c>
      <c r="Y55">
        <f t="shared" si="10"/>
        <v>30</v>
      </c>
    </row>
    <row r="56" spans="20:34" x14ac:dyDescent="0.35">
      <c r="X56" s="25">
        <f t="shared" si="9"/>
        <v>43954</v>
      </c>
      <c r="Y56">
        <f t="shared" si="10"/>
        <v>30</v>
      </c>
      <c r="AC56" s="38">
        <v>44000</v>
      </c>
    </row>
    <row r="57" spans="20:34" x14ac:dyDescent="0.35">
      <c r="AC57" s="38">
        <v>44183</v>
      </c>
      <c r="AG57" cm="1">
        <f t="array" ref="AG57">BVadvanced(1,1,1,0.09,0.08,1000,1000,"Clean","Practical")</f>
        <v>-1</v>
      </c>
    </row>
    <row r="59" spans="20:34" x14ac:dyDescent="0.35">
      <c r="AC59" t="s">
        <v>47</v>
      </c>
    </row>
    <row r="65" spans="1:27" s="14" customFormat="1" x14ac:dyDescent="0.35">
      <c r="A65" s="14" t="s">
        <v>29</v>
      </c>
    </row>
    <row r="67" spans="1:27" x14ac:dyDescent="0.35">
      <c r="B67" t="s">
        <v>20</v>
      </c>
      <c r="C67">
        <v>100</v>
      </c>
    </row>
    <row r="68" spans="1:27" x14ac:dyDescent="0.35">
      <c r="B68" t="s">
        <v>21</v>
      </c>
      <c r="C68">
        <v>100</v>
      </c>
    </row>
    <row r="69" spans="1:27" x14ac:dyDescent="0.35">
      <c r="B69" t="s">
        <v>28</v>
      </c>
      <c r="C69">
        <v>0.06</v>
      </c>
      <c r="U69" cm="1">
        <f t="array" ref="U69">BVadvanced(10,4,1/3,0.06,0.04,1000,1000,"Clean","Practical")</f>
        <v>1099.5739736300595</v>
      </c>
      <c r="V69" t="s">
        <v>3</v>
      </c>
      <c r="W69" s="30" cm="1">
        <f t="array" ref="W69">BVadvanced(10,6,3/5,0.04166666667,0.03555807634,1000,1000,"Dirty","Practical")</f>
        <v>1044.2205515882413</v>
      </c>
      <c r="X69" t="s">
        <v>42</v>
      </c>
      <c r="Y69" s="25">
        <v>43938</v>
      </c>
    </row>
    <row r="70" spans="1:27" x14ac:dyDescent="0.35">
      <c r="B70" t="s">
        <v>19</v>
      </c>
      <c r="C70">
        <v>0.08</v>
      </c>
      <c r="U70" cm="1">
        <f t="array" ref="U70">BVadvanced(10,4,1/3,0.06,0.04,1000,1000,"Clean","Semi-Theorical")</f>
        <v>1099.3818088706755</v>
      </c>
      <c r="V70" t="s">
        <v>41</v>
      </c>
      <c r="W70">
        <f>0.69-0.22</f>
        <v>0.47</v>
      </c>
      <c r="Y70" s="25">
        <v>43968</v>
      </c>
    </row>
    <row r="71" spans="1:27" x14ac:dyDescent="0.35">
      <c r="B71" t="s">
        <v>24</v>
      </c>
      <c r="C71">
        <v>30</v>
      </c>
      <c r="Y71" s="25">
        <v>43999</v>
      </c>
    </row>
    <row r="72" spans="1:27" x14ac:dyDescent="0.35">
      <c r="Y72" s="25">
        <v>44029</v>
      </c>
    </row>
    <row r="73" spans="1:27" x14ac:dyDescent="0.35">
      <c r="Y73" s="25">
        <v>44060</v>
      </c>
    </row>
    <row r="74" spans="1:27" x14ac:dyDescent="0.35">
      <c r="Y74" s="25">
        <v>44091</v>
      </c>
    </row>
    <row r="75" spans="1:27" x14ac:dyDescent="0.35">
      <c r="B75" s="15" t="s">
        <v>22</v>
      </c>
      <c r="C75" s="15" t="s">
        <v>30</v>
      </c>
      <c r="D75" s="15" t="s">
        <v>31</v>
      </c>
      <c r="E75" s="15" t="s">
        <v>32</v>
      </c>
      <c r="F75" s="15" t="s">
        <v>33</v>
      </c>
      <c r="Y75" s="25">
        <v>44121</v>
      </c>
      <c r="Z75" s="25">
        <v>44140</v>
      </c>
      <c r="AA75">
        <v>18</v>
      </c>
    </row>
    <row r="76" spans="1:27" x14ac:dyDescent="0.35">
      <c r="B76">
        <v>0</v>
      </c>
      <c r="C76">
        <v>0</v>
      </c>
      <c r="D76">
        <v>0</v>
      </c>
      <c r="E76">
        <v>0</v>
      </c>
      <c r="F76" cm="1">
        <f t="array" ref="F76">BBasica(C71,C68,C67,C70,C69)</f>
        <v>127.52966230297885</v>
      </c>
      <c r="Y76" s="25">
        <v>44152</v>
      </c>
      <c r="AA76" t="s">
        <v>43</v>
      </c>
    </row>
    <row r="77" spans="1:27" x14ac:dyDescent="0.35">
      <c r="B77">
        <v>1</v>
      </c>
      <c r="C77">
        <f>$C$68*$C$70</f>
        <v>8</v>
      </c>
      <c r="D77">
        <f>F76*$C$69</f>
        <v>7.6517797381787309</v>
      </c>
      <c r="E77">
        <f>C77-D77</f>
        <v>0.34822026182126908</v>
      </c>
      <c r="F77">
        <f>F76-E77</f>
        <v>127.18144204115758</v>
      </c>
      <c r="Y77" s="25">
        <v>44182</v>
      </c>
    </row>
    <row r="78" spans="1:27" x14ac:dyDescent="0.35">
      <c r="B78">
        <v>2</v>
      </c>
      <c r="C78">
        <f t="shared" ref="C78:C105" si="11">$C$68*$C$70</f>
        <v>8</v>
      </c>
      <c r="D78">
        <f t="shared" ref="D78:D106" si="12">F77*$C$69</f>
        <v>7.6308865224694546</v>
      </c>
      <c r="E78">
        <f t="shared" ref="E78:E106" si="13">C78-D78</f>
        <v>0.36911347753054535</v>
      </c>
      <c r="F78">
        <f t="shared" ref="F78:F106" si="14">F77-E78</f>
        <v>126.81232856362703</v>
      </c>
      <c r="Y78" s="25">
        <v>44213</v>
      </c>
    </row>
    <row r="79" spans="1:27" x14ac:dyDescent="0.35">
      <c r="B79">
        <v>3</v>
      </c>
      <c r="C79">
        <f t="shared" si="11"/>
        <v>8</v>
      </c>
      <c r="D79">
        <f t="shared" si="12"/>
        <v>7.6087397138176218</v>
      </c>
      <c r="E79">
        <f t="shared" si="13"/>
        <v>0.39126028618237818</v>
      </c>
      <c r="F79">
        <f t="shared" si="14"/>
        <v>126.42106827744466</v>
      </c>
      <c r="Y79" s="25">
        <v>44244</v>
      </c>
    </row>
    <row r="80" spans="1:27" x14ac:dyDescent="0.35">
      <c r="B80">
        <v>4</v>
      </c>
      <c r="C80">
        <f t="shared" si="11"/>
        <v>8</v>
      </c>
      <c r="D80">
        <f t="shared" si="12"/>
        <v>7.5852640966466796</v>
      </c>
      <c r="E80">
        <f t="shared" si="13"/>
        <v>0.41473590335332045</v>
      </c>
      <c r="F80">
        <f t="shared" si="14"/>
        <v>126.00633237409134</v>
      </c>
      <c r="Y80" s="25"/>
    </row>
    <row r="81" spans="2:6" x14ac:dyDescent="0.35">
      <c r="B81">
        <v>5</v>
      </c>
      <c r="C81">
        <f t="shared" si="11"/>
        <v>8</v>
      </c>
      <c r="D81">
        <f t="shared" si="12"/>
        <v>7.5603799424454801</v>
      </c>
      <c r="E81">
        <f t="shared" si="13"/>
        <v>0.43962005755451994</v>
      </c>
      <c r="F81">
        <f t="shared" si="14"/>
        <v>125.56671231653682</v>
      </c>
    </row>
    <row r="82" spans="2:6" x14ac:dyDescent="0.35">
      <c r="B82">
        <v>6</v>
      </c>
      <c r="C82">
        <f t="shared" si="11"/>
        <v>8</v>
      </c>
      <c r="D82">
        <f t="shared" si="12"/>
        <v>7.5340027389922088</v>
      </c>
      <c r="E82">
        <f t="shared" si="13"/>
        <v>0.46599726100779115</v>
      </c>
      <c r="F82">
        <f t="shared" si="14"/>
        <v>125.10071505552904</v>
      </c>
    </row>
    <row r="83" spans="2:6" x14ac:dyDescent="0.35">
      <c r="B83">
        <v>7</v>
      </c>
      <c r="C83">
        <f t="shared" si="11"/>
        <v>8</v>
      </c>
      <c r="D83">
        <f t="shared" si="12"/>
        <v>7.5060429033317417</v>
      </c>
      <c r="E83">
        <f t="shared" si="13"/>
        <v>0.49395709666825827</v>
      </c>
      <c r="F83">
        <f t="shared" si="14"/>
        <v>124.60675795886078</v>
      </c>
    </row>
    <row r="84" spans="2:6" x14ac:dyDescent="0.35">
      <c r="B84">
        <v>8</v>
      </c>
      <c r="C84">
        <f t="shared" si="11"/>
        <v>8</v>
      </c>
      <c r="D84">
        <f t="shared" si="12"/>
        <v>7.4764054775316469</v>
      </c>
      <c r="E84">
        <f t="shared" si="13"/>
        <v>0.52359452246835314</v>
      </c>
      <c r="F84">
        <f t="shared" si="14"/>
        <v>124.08316343639243</v>
      </c>
    </row>
    <row r="85" spans="2:6" x14ac:dyDescent="0.35">
      <c r="B85">
        <v>9</v>
      </c>
      <c r="C85">
        <f t="shared" si="11"/>
        <v>8</v>
      </c>
      <c r="D85">
        <f t="shared" si="12"/>
        <v>7.4449898061835453</v>
      </c>
      <c r="E85">
        <f t="shared" si="13"/>
        <v>0.55501019381645467</v>
      </c>
      <c r="F85">
        <f t="shared" si="14"/>
        <v>123.52815324257597</v>
      </c>
    </row>
    <row r="86" spans="2:6" x14ac:dyDescent="0.35">
      <c r="B86">
        <v>10</v>
      </c>
      <c r="C86">
        <f t="shared" si="11"/>
        <v>8</v>
      </c>
      <c r="D86">
        <f t="shared" si="12"/>
        <v>7.4116891945545582</v>
      </c>
      <c r="E86">
        <f t="shared" si="13"/>
        <v>0.58831080544544179</v>
      </c>
      <c r="F86">
        <f t="shared" si="14"/>
        <v>122.93984243713052</v>
      </c>
    </row>
    <row r="87" spans="2:6" x14ac:dyDescent="0.35">
      <c r="B87">
        <v>11</v>
      </c>
      <c r="C87">
        <f t="shared" si="11"/>
        <v>8</v>
      </c>
      <c r="D87">
        <f t="shared" si="12"/>
        <v>7.3763905462278307</v>
      </c>
      <c r="E87">
        <f t="shared" si="13"/>
        <v>0.62360945377216925</v>
      </c>
      <c r="F87">
        <f t="shared" si="14"/>
        <v>122.31623298335835</v>
      </c>
    </row>
    <row r="88" spans="2:6" x14ac:dyDescent="0.35">
      <c r="B88">
        <v>12</v>
      </c>
      <c r="C88">
        <f t="shared" si="11"/>
        <v>8</v>
      </c>
      <c r="D88">
        <f t="shared" si="12"/>
        <v>7.3389739790015005</v>
      </c>
      <c r="E88">
        <f t="shared" si="13"/>
        <v>0.6610260209984995</v>
      </c>
      <c r="F88">
        <f t="shared" si="14"/>
        <v>121.65520696235984</v>
      </c>
    </row>
    <row r="89" spans="2:6" x14ac:dyDescent="0.35">
      <c r="B89">
        <v>13</v>
      </c>
      <c r="C89">
        <f t="shared" si="11"/>
        <v>8</v>
      </c>
      <c r="D89">
        <f t="shared" si="12"/>
        <v>7.2993124177415902</v>
      </c>
      <c r="E89">
        <f t="shared" si="13"/>
        <v>0.70068758225840977</v>
      </c>
      <c r="F89">
        <f t="shared" si="14"/>
        <v>120.95451938010143</v>
      </c>
    </row>
    <row r="90" spans="2:6" x14ac:dyDescent="0.35">
      <c r="B90">
        <v>14</v>
      </c>
      <c r="C90">
        <f t="shared" si="11"/>
        <v>8</v>
      </c>
      <c r="D90">
        <f t="shared" si="12"/>
        <v>7.2572711628060853</v>
      </c>
      <c r="E90">
        <f t="shared" si="13"/>
        <v>0.74272883719391469</v>
      </c>
      <c r="F90">
        <f t="shared" si="14"/>
        <v>120.21179054290752</v>
      </c>
    </row>
    <row r="91" spans="2:6" x14ac:dyDescent="0.35">
      <c r="B91">
        <v>15</v>
      </c>
      <c r="C91">
        <f t="shared" si="11"/>
        <v>8</v>
      </c>
      <c r="D91">
        <f t="shared" si="12"/>
        <v>7.2127074325744509</v>
      </c>
      <c r="E91">
        <f t="shared" si="13"/>
        <v>0.78729256742554909</v>
      </c>
      <c r="F91">
        <f t="shared" si="14"/>
        <v>119.42449797548197</v>
      </c>
    </row>
    <row r="92" spans="2:6" x14ac:dyDescent="0.35">
      <c r="B92">
        <v>16</v>
      </c>
      <c r="C92">
        <f t="shared" si="11"/>
        <v>8</v>
      </c>
      <c r="D92">
        <f t="shared" si="12"/>
        <v>7.1654698785289179</v>
      </c>
      <c r="E92">
        <f t="shared" si="13"/>
        <v>0.83453012147108208</v>
      </c>
      <c r="F92">
        <f t="shared" si="14"/>
        <v>118.58996785401089</v>
      </c>
    </row>
    <row r="93" spans="2:6" x14ac:dyDescent="0.35">
      <c r="B93">
        <v>17</v>
      </c>
      <c r="C93">
        <f t="shared" si="11"/>
        <v>8</v>
      </c>
      <c r="D93">
        <f t="shared" si="12"/>
        <v>7.1153980712406533</v>
      </c>
      <c r="E93">
        <f t="shared" si="13"/>
        <v>0.88460192875934673</v>
      </c>
      <c r="F93">
        <f t="shared" si="14"/>
        <v>117.70536592525154</v>
      </c>
    </row>
    <row r="94" spans="2:6" x14ac:dyDescent="0.35">
      <c r="B94">
        <v>18</v>
      </c>
      <c r="C94">
        <f t="shared" si="11"/>
        <v>8</v>
      </c>
      <c r="D94">
        <f t="shared" si="12"/>
        <v>7.0623219555150927</v>
      </c>
      <c r="E94">
        <f t="shared" si="13"/>
        <v>0.93767804448490732</v>
      </c>
      <c r="F94">
        <f t="shared" si="14"/>
        <v>116.76768788076663</v>
      </c>
    </row>
    <row r="95" spans="2:6" x14ac:dyDescent="0.35">
      <c r="B95">
        <v>19</v>
      </c>
      <c r="C95">
        <f t="shared" si="11"/>
        <v>8</v>
      </c>
      <c r="D95">
        <f t="shared" si="12"/>
        <v>7.0060612728459972</v>
      </c>
      <c r="E95">
        <f t="shared" si="13"/>
        <v>0.99393872715400278</v>
      </c>
      <c r="F95">
        <f t="shared" si="14"/>
        <v>115.77374915361263</v>
      </c>
    </row>
    <row r="96" spans="2:6" x14ac:dyDescent="0.35">
      <c r="B96">
        <v>20</v>
      </c>
      <c r="C96">
        <f t="shared" si="11"/>
        <v>8</v>
      </c>
      <c r="D96">
        <f t="shared" si="12"/>
        <v>6.9464249492167571</v>
      </c>
      <c r="E96">
        <f t="shared" si="13"/>
        <v>1.0535750507832429</v>
      </c>
      <c r="F96">
        <f t="shared" si="14"/>
        <v>114.72017410282939</v>
      </c>
    </row>
    <row r="97" spans="2:6" x14ac:dyDescent="0.35">
      <c r="B97">
        <v>21</v>
      </c>
      <c r="C97">
        <f t="shared" si="11"/>
        <v>8</v>
      </c>
      <c r="D97">
        <f t="shared" si="12"/>
        <v>6.8832104461697634</v>
      </c>
      <c r="E97">
        <f t="shared" si="13"/>
        <v>1.1167895538302366</v>
      </c>
      <c r="F97">
        <f t="shared" si="14"/>
        <v>113.60338454899916</v>
      </c>
    </row>
    <row r="98" spans="2:6" x14ac:dyDescent="0.35">
      <c r="B98">
        <v>22</v>
      </c>
      <c r="C98">
        <f t="shared" si="11"/>
        <v>8</v>
      </c>
      <c r="D98">
        <f t="shared" si="12"/>
        <v>6.816203072939949</v>
      </c>
      <c r="E98">
        <f t="shared" si="13"/>
        <v>1.183796927060051</v>
      </c>
      <c r="F98">
        <f t="shared" si="14"/>
        <v>112.41958762193912</v>
      </c>
    </row>
    <row r="99" spans="2:6" x14ac:dyDescent="0.35">
      <c r="B99">
        <v>23</v>
      </c>
      <c r="C99">
        <f t="shared" si="11"/>
        <v>8</v>
      </c>
      <c r="D99">
        <f t="shared" si="12"/>
        <v>6.7451752573163466</v>
      </c>
      <c r="E99">
        <f t="shared" si="13"/>
        <v>1.2548247426836534</v>
      </c>
      <c r="F99">
        <f t="shared" si="14"/>
        <v>111.16476287925546</v>
      </c>
    </row>
    <row r="100" spans="2:6" x14ac:dyDescent="0.35">
      <c r="B100">
        <v>24</v>
      </c>
      <c r="C100">
        <f t="shared" si="11"/>
        <v>8</v>
      </c>
      <c r="D100">
        <f t="shared" si="12"/>
        <v>6.6698857727553271</v>
      </c>
      <c r="E100">
        <f t="shared" si="13"/>
        <v>1.3301142272446729</v>
      </c>
      <c r="F100">
        <f t="shared" si="14"/>
        <v>109.83464865201078</v>
      </c>
    </row>
    <row r="101" spans="2:6" x14ac:dyDescent="0.35">
      <c r="B101">
        <v>25</v>
      </c>
      <c r="C101">
        <f t="shared" si="11"/>
        <v>8</v>
      </c>
      <c r="D101">
        <f t="shared" si="12"/>
        <v>6.5900789191206472</v>
      </c>
      <c r="E101">
        <f t="shared" si="13"/>
        <v>1.4099210808793528</v>
      </c>
      <c r="F101">
        <f t="shared" si="14"/>
        <v>108.42472757113143</v>
      </c>
    </row>
    <row r="102" spans="2:6" x14ac:dyDescent="0.35">
      <c r="B102">
        <v>26</v>
      </c>
      <c r="C102">
        <f t="shared" si="11"/>
        <v>8</v>
      </c>
      <c r="D102">
        <f t="shared" si="12"/>
        <v>6.5054836542678851</v>
      </c>
      <c r="E102">
        <f t="shared" si="13"/>
        <v>1.4945163457321149</v>
      </c>
      <c r="F102">
        <f t="shared" si="14"/>
        <v>106.93021122539932</v>
      </c>
    </row>
    <row r="103" spans="2:6" x14ac:dyDescent="0.35">
      <c r="B103">
        <v>27</v>
      </c>
      <c r="C103">
        <f t="shared" si="11"/>
        <v>8</v>
      </c>
      <c r="D103">
        <f t="shared" si="12"/>
        <v>6.4158126735239591</v>
      </c>
      <c r="E103">
        <f t="shared" si="13"/>
        <v>1.5841873264760409</v>
      </c>
      <c r="F103">
        <f t="shared" si="14"/>
        <v>105.34602389892328</v>
      </c>
    </row>
    <row r="104" spans="2:6" x14ac:dyDescent="0.35">
      <c r="B104">
        <v>28</v>
      </c>
      <c r="C104">
        <f t="shared" si="11"/>
        <v>8</v>
      </c>
      <c r="D104">
        <f t="shared" si="12"/>
        <v>6.3207614339353961</v>
      </c>
      <c r="E104">
        <f t="shared" si="13"/>
        <v>1.6792385660646039</v>
      </c>
      <c r="F104">
        <f t="shared" si="14"/>
        <v>103.66678533285868</v>
      </c>
    </row>
    <row r="105" spans="2:6" x14ac:dyDescent="0.35">
      <c r="B105">
        <v>29</v>
      </c>
      <c r="C105">
        <f t="shared" si="11"/>
        <v>8</v>
      </c>
      <c r="D105">
        <f t="shared" si="12"/>
        <v>6.2200071199715206</v>
      </c>
      <c r="E105">
        <f t="shared" si="13"/>
        <v>1.7799928800284794</v>
      </c>
      <c r="F105">
        <f t="shared" si="14"/>
        <v>101.88679245283021</v>
      </c>
    </row>
    <row r="106" spans="2:6" x14ac:dyDescent="0.35">
      <c r="B106">
        <v>30</v>
      </c>
      <c r="C106">
        <f>$C$68*$C$70+C67</f>
        <v>108</v>
      </c>
      <c r="D106">
        <f t="shared" si="12"/>
        <v>6.1132075471698126</v>
      </c>
      <c r="E106">
        <f t="shared" si="13"/>
        <v>101.88679245283019</v>
      </c>
      <c r="F106">
        <f t="shared" si="14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0FAF3-D785-45D6-BD9C-CB8328D21283}">
  <dimension ref="C6"/>
  <sheetViews>
    <sheetView workbookViewId="0">
      <selection activeCell="C6" sqref="C6"/>
    </sheetView>
  </sheetViews>
  <sheetFormatPr defaultRowHeight="14.5" x14ac:dyDescent="0.35"/>
  <cols>
    <col min="3" max="3" width="9.36328125" bestFit="1" customWidth="1"/>
  </cols>
  <sheetData>
    <row r="6" spans="3:3" x14ac:dyDescent="0.35">
      <c r="C6" s="8" cm="1">
        <f t="array" ref="C6">NewtonRaphson_rate(2000,0.025,24,0.03,2000,1812.35918,5)</f>
        <v>3.057417363712106E-2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Amort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actda</dc:creator>
  <cp:lastModifiedBy>actda</cp:lastModifiedBy>
  <dcterms:created xsi:type="dcterms:W3CDTF">2020-10-22T13:10:01Z</dcterms:created>
  <dcterms:modified xsi:type="dcterms:W3CDTF">2020-12-11T14:12:15Z</dcterms:modified>
</cp:coreProperties>
</file>