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tda\OneDrive\Documentos\"/>
    </mc:Choice>
  </mc:AlternateContent>
  <xr:revisionPtr revIDLastSave="0" documentId="13_ncr:1_{4BFD7572-CB14-4719-9796-DB70DBC085F8}" xr6:coauthVersionLast="45" xr6:coauthVersionMax="45" xr10:uidLastSave="{00000000-0000-0000-0000-000000000000}"/>
  <bookViews>
    <workbookView xWindow="340" yWindow="340" windowWidth="17630" windowHeight="10200" xr2:uid="{77347FD5-1039-4043-8E8D-E7F36D14C2E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" l="1" a="1"/>
  <c r="D44" i="1" a="1"/>
  <c r="D35" i="1" a="1"/>
  <c r="D26" i="1" a="1"/>
  <c r="D33" i="1" a="1"/>
  <c r="D46" i="1" a="1"/>
  <c r="D45" i="1" a="1"/>
  <c r="D43" i="1" a="1"/>
  <c r="D39" i="1" a="1"/>
  <c r="D30" i="1" a="1"/>
  <c r="D31" i="1" a="1"/>
  <c r="D28" i="1" a="1"/>
  <c r="D36" i="1" a="1"/>
  <c r="D34" i="1" a="1"/>
  <c r="D41" i="1" a="1"/>
  <c r="D40" i="1" a="1"/>
  <c r="D29" i="1" a="1"/>
  <c r="D38" i="1" a="1"/>
  <c r="G28" i="1" a="1"/>
  <c r="G26" i="1" a="1"/>
  <c r="G25" i="1" a="1"/>
  <c r="G28" i="1" l="1"/>
  <c r="G26" i="1"/>
  <c r="G25" i="1"/>
  <c r="D25" i="1"/>
  <c r="D38" i="1"/>
  <c r="M38" i="1" s="1"/>
  <c r="D29" i="1"/>
  <c r="D40" i="1"/>
  <c r="D41" i="1"/>
  <c r="D34" i="1"/>
  <c r="D36" i="1"/>
  <c r="D28" i="1"/>
  <c r="M28" i="1" s="1"/>
  <c r="D31" i="1"/>
  <c r="D30" i="1"/>
  <c r="M30" i="1" s="1"/>
  <c r="D39" i="1"/>
  <c r="M39" i="1" s="1"/>
  <c r="D43" i="1"/>
  <c r="M43" i="1" s="1"/>
  <c r="D45" i="1"/>
  <c r="D46" i="1"/>
  <c r="D33" i="1"/>
  <c r="M33" i="1" s="1"/>
  <c r="M25" i="1"/>
  <c r="D26" i="1"/>
  <c r="D35" i="1"/>
  <c r="M35" i="1" s="1"/>
  <c r="D44" i="1"/>
  <c r="M44" i="1" s="1"/>
  <c r="M26" i="1" l="1"/>
  <c r="M27" i="1"/>
  <c r="M31" i="1"/>
  <c r="M32" i="1"/>
  <c r="M36" i="1"/>
  <c r="M37" i="1"/>
  <c r="M46" i="1"/>
  <c r="M47" i="1"/>
  <c r="M34" i="1"/>
  <c r="M45" i="1"/>
  <c r="M41" i="1"/>
  <c r="M42" i="1"/>
  <c r="M40" i="1"/>
  <c r="M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<sst xmlns="http://schemas.openxmlformats.org/spreadsheetml/2006/main" count="8" uniqueCount="6">
  <si>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T</t>
  </si>
  <si>
    <t>r(0,T)</t>
  </si>
  <si>
    <t xml:space="preserve">1) Bootstrapping lineal para obtener todos los datos intermedios. </t>
  </si>
  <si>
    <t xml:space="preserve">2) Obtener todas las 1-year forward rates implicitas a patir de las Tasas Spot. </t>
  </si>
  <si>
    <t>n</t>
  </si>
  <si>
    <r>
      <t>r</t>
    </r>
    <r>
      <rPr>
        <sz val="8"/>
        <color theme="0"/>
        <rFont val="Calibri"/>
        <family val="2"/>
        <scheme val="minor"/>
      </rPr>
      <t>o</t>
    </r>
    <r>
      <rPr>
        <sz val="11"/>
        <color theme="0"/>
        <rFont val="Calibri"/>
        <family val="2"/>
        <scheme val="minor"/>
      </rPr>
      <t xml:space="preserve">(n,n+1)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</si>
</sst>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10" fontId="0" fillId="2" borderId="1" xfId="1" applyNumberFormat="1" applyFont="1" applyFill="1" applyBorder="1"/>
    <xf numFmtId="10" fontId="0" fillId="0" borderId="1" xfId="1" applyNumberFormat="1" applyFont="1" applyBorder="1"/>
    <xf numFmtId="0" fontId="2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" xfId="1" applyNumberFormat="1" applyFont="1" applyFill="1" applyBorder="1"/>
    <xf numFmtId="164" fontId="0" fillId="0" borderId="1" xfId="1" applyNumberFormat="1" applyFont="1" applyBorder="1"/>
    <xf numFmtId="0" fontId="2" fillId="3" borderId="2" xfId="0" applyFont="1" applyFill="1" applyBorder="1" applyAlignment="1">
      <alignment horizontal="center"/>
    </xf>
    <xf numFmtId="10" fontId="0" fillId="0" borderId="1" xfId="0" applyNumberFormat="1" applyBorder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RATE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Sheet1!$L$24:$L$47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</c:numCache>
            </c:numRef>
          </c:cat>
          <c:val>
            <c:numRef>
              <c:f>Sheet1!$M$24:$M$47</c:f>
              <c:numCache>
                <c:formatCode>0.0000%</c:formatCode>
                <c:ptCount val="24"/>
                <c:pt idx="0">
                  <c:v>2.7E-2</c:v>
                </c:pt>
                <c:pt idx="1">
                  <c:v>3.6026315764523531E-2</c:v>
                </c:pt>
                <c:pt idx="2">
                  <c:v>4.2052529058950183E-2</c:v>
                </c:pt>
                <c:pt idx="3">
                  <c:v>4.8087378271437942E-2</c:v>
                </c:pt>
                <c:pt idx="4">
                  <c:v>4.8058064347429985E-2</c:v>
                </c:pt>
                <c:pt idx="5">
                  <c:v>5.2081185231086957E-2</c:v>
                </c:pt>
                <c:pt idx="6">
                  <c:v>5.6108107506085414E-2</c:v>
                </c:pt>
                <c:pt idx="7">
                  <c:v>6.0138816481720481E-2</c:v>
                </c:pt>
                <c:pt idx="8">
                  <c:v>6.4173297538388852E-2</c:v>
                </c:pt>
                <c:pt idx="9">
                  <c:v>5.04084226609256E-2</c:v>
                </c:pt>
                <c:pt idx="10">
                  <c:v>5.1210104613184759E-2</c:v>
                </c:pt>
                <c:pt idx="11">
                  <c:v>5.2011938768040666E-2</c:v>
                </c:pt>
                <c:pt idx="12">
                  <c:v>5.2813925008954765E-2</c:v>
                </c:pt>
                <c:pt idx="13">
                  <c:v>5.3616063219488863E-2</c:v>
                </c:pt>
                <c:pt idx="14">
                  <c:v>4.8000000000000487E-2</c:v>
                </c:pt>
                <c:pt idx="15">
                  <c:v>4.8000000000000043E-2</c:v>
                </c:pt>
                <c:pt idx="16">
                  <c:v>4.8000000000000265E-2</c:v>
                </c:pt>
                <c:pt idx="17">
                  <c:v>4.7999999999999821E-2</c:v>
                </c:pt>
                <c:pt idx="18">
                  <c:v>4.8000000000000487E-2</c:v>
                </c:pt>
                <c:pt idx="19">
                  <c:v>4.5902002606354797E-2</c:v>
                </c:pt>
                <c:pt idx="20">
                  <c:v>4.5702203007023767E-2</c:v>
                </c:pt>
                <c:pt idx="21">
                  <c:v>4.5502412970604977E-2</c:v>
                </c:pt>
                <c:pt idx="22">
                  <c:v>4.5302632498917639E-2</c:v>
                </c:pt>
                <c:pt idx="23">
                  <c:v>4.5102861593794064E-2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C-4523-96C9-D81184AE8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6634336"/>
        <c:axId val="1007468080"/>
      </c:lineChart>
      <c:catAx>
        <c:axId val="162663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07468080"/>
        <c:crosses val="autoZero"/>
        <c:auto val="1"/>
        <c:lblAlgn val="ctr"/>
        <c:lblOffset val="100"/>
        <c:noMultiLvlLbl val="0"/>
      </c:catAx>
      <c:valAx>
        <c:axId val="1007468080"/>
        <c:scaling>
          <c:orientation val="minMax"/>
          <c:max val="6.5000000000000016E-2"/>
          <c:min val="2.5000000000000005E-2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2663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6350</xdr:rowOff>
    </xdr:from>
    <xdr:to>
      <xdr:col>7</xdr:col>
      <xdr:colOff>603250</xdr:colOff>
      <xdr:row>15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BC0225E-9BFD-49CA-8B30-DDCF546F6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50"/>
          <a:ext cx="4870450" cy="2832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57150</xdr:rowOff>
    </xdr:from>
    <xdr:to>
      <xdr:col>7</xdr:col>
      <xdr:colOff>590550</xdr:colOff>
      <xdr:row>18</xdr:row>
      <xdr:rowOff>158750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9B8967-7048-433F-A06F-218AC7828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819400"/>
          <a:ext cx="4857750" cy="654050"/>
        </a:xfrm>
        <a:prstGeom prst="rect">
          <a:avLst/>
        </a:prstGeom>
      </xdr:spPr>
    </xdr:pic>
    <xdr:clientData/>
  </xdr:twoCellAnchor>
  <xdr:twoCellAnchor editAs="oneCell">
    <xdr:from>
      <xdr:col>8</xdr:col>
      <xdr:colOff>22088</xdr:colOff>
      <xdr:row>15</xdr:row>
      <xdr:rowOff>27609</xdr:rowOff>
    </xdr:from>
    <xdr:to>
      <xdr:col>16384</xdr:col>
      <xdr:colOff>12700</xdr:colOff>
      <xdr:row>19</xdr:row>
      <xdr:rowOff>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F9C6693-40A0-4B37-979A-031F66FA7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98888" y="2789859"/>
          <a:ext cx="4441962" cy="708992"/>
        </a:xfrm>
        <a:prstGeom prst="rect">
          <a:avLst/>
        </a:prstGeom>
      </xdr:spPr>
    </xdr:pic>
    <xdr:clientData/>
  </xdr:twoCellAnchor>
  <xdr:twoCellAnchor>
    <xdr:from>
      <xdr:col>7</xdr:col>
      <xdr:colOff>588065</xdr:colOff>
      <xdr:row>0</xdr:row>
      <xdr:rowOff>0</xdr:rowOff>
    </xdr:from>
    <xdr:to>
      <xdr:col>15</xdr:col>
      <xdr:colOff>0</xdr:colOff>
      <xdr:row>15</xdr:row>
      <xdr:rowOff>9939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EE68F1C-2A19-4A3A-9DE2-761BA9616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783C8-D100-4F22-AD2C-B573CD6A837E}">
  <sheetPr codeName="Sheet1"/>
  <dimension ref="A1:O47"/>
  <sheetViews>
    <sheetView showGridLines="0" showRowColHeaders="0" tabSelected="1" topLeftCell="A13" zoomScaleNormal="100" workbookViewId="0">
      <selection activeCell="G25" sqref="G25"/>
    </sheetView>
  </sheetViews>
  <sheetFormatPr defaultColWidth="0" defaultRowHeight="14.5" zeroHeight="1" x14ac:dyDescent="0.35"/>
  <cols>
    <col min="1" max="14" width="8.7265625" customWidth="1"/>
    <col min="15" max="15" width="11.36328125" customWidth="1"/>
    <col min="16" max="16384" width="8.7265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1:13" x14ac:dyDescent="0.35"/>
    <row r="18" spans="1:13" x14ac:dyDescent="0.35"/>
    <row r="19" spans="1:13" x14ac:dyDescent="0.35"/>
    <row r="20" spans="1:13" x14ac:dyDescent="0.35"/>
    <row r="21" spans="1:13" x14ac:dyDescent="0.35">
      <c r="A21" s="10" t="s">
        <v>2</v>
      </c>
      <c r="B21" s="10"/>
      <c r="C21" s="10"/>
      <c r="D21" s="10"/>
      <c r="E21" s="10"/>
      <c r="F21" s="10"/>
      <c r="G21" s="10"/>
      <c r="I21" t="s">
        <v>3</v>
      </c>
    </row>
    <row r="22" spans="1:13" x14ac:dyDescent="0.35"/>
    <row r="23" spans="1:13" x14ac:dyDescent="0.35">
      <c r="C23" s="4" t="s">
        <v>0</v>
      </c>
      <c r="D23" s="4" t="s">
        <v>1</v>
      </c>
      <c r="F23" s="4" t="s">
        <v>0</v>
      </c>
      <c r="G23" s="8" t="s">
        <v>1</v>
      </c>
      <c r="L23" s="4" t="s">
        <v>4</v>
      </c>
      <c r="M23" s="4" t="s">
        <v>5</v>
      </c>
    </row>
    <row r="24" spans="1:13" x14ac:dyDescent="0.35">
      <c r="C24" s="5">
        <v>2</v>
      </c>
      <c r="D24" s="2">
        <v>2.7E-2</v>
      </c>
      <c r="F24" s="5">
        <v>2</v>
      </c>
      <c r="G24" s="9">
        <v>1.7000000000000001E-2</v>
      </c>
      <c r="L24" s="5">
        <v>2</v>
      </c>
      <c r="M24" s="6">
        <v>2.7E-2</v>
      </c>
    </row>
    <row r="25" spans="1:13" x14ac:dyDescent="0.35">
      <c r="C25" s="1">
        <v>3</v>
      </c>
      <c r="D25" s="3" cm="1">
        <f t="array" ref="D25">bstln($C$24:$D$47,C25,$C$24,$C$27)</f>
        <v>0.03</v>
      </c>
      <c r="F25" s="1">
        <v>3</v>
      </c>
      <c r="G25" s="3" cm="1">
        <f t="array" ref="G25">bstln($F$24:$G$28,F25,$F$24,$F$27)</f>
        <v>2.5333333333333333E-2</v>
      </c>
      <c r="L25" s="1">
        <v>3</v>
      </c>
      <c r="M25" s="7">
        <f t="shared" ref="M25:M47" si="0">((1+D25)^C25/(1+D24)^C24)-1</f>
        <v>3.6026315764523531E-2</v>
      </c>
    </row>
    <row r="26" spans="1:13" x14ac:dyDescent="0.35">
      <c r="C26" s="1">
        <v>4</v>
      </c>
      <c r="D26" s="3" cm="1">
        <f t="array" ref="D26">bstln($C$24:$D$47,C26,$C$24,$C$27)</f>
        <v>3.3000000000000002E-2</v>
      </c>
      <c r="F26" s="1">
        <v>4</v>
      </c>
      <c r="G26" s="3" cm="1">
        <f t="array" ref="G26">bstln($F$24:$G$29,F26,$F$24,$F$27)</f>
        <v>3.3666666666666664E-2</v>
      </c>
      <c r="L26" s="1">
        <v>4</v>
      </c>
      <c r="M26" s="7">
        <f t="shared" si="0"/>
        <v>4.2052529058950183E-2</v>
      </c>
    </row>
    <row r="27" spans="1:13" x14ac:dyDescent="0.35">
      <c r="C27" s="5">
        <v>5</v>
      </c>
      <c r="D27" s="2">
        <v>3.5999999999999997E-2</v>
      </c>
      <c r="F27" s="5">
        <v>5</v>
      </c>
      <c r="G27" s="9">
        <v>4.2000000000000003E-2</v>
      </c>
      <c r="L27" s="5">
        <v>5</v>
      </c>
      <c r="M27" s="6">
        <f t="shared" si="0"/>
        <v>4.8087378271437942E-2</v>
      </c>
    </row>
    <row r="28" spans="1:13" x14ac:dyDescent="0.35">
      <c r="C28" s="1">
        <v>6</v>
      </c>
      <c r="D28" s="3" cm="1">
        <f t="array" ref="D28">bstln($C$24:$D$47,C28,$C$27,$C$32)</f>
        <v>3.7999999999999999E-2</v>
      </c>
      <c r="F28" s="1">
        <v>6</v>
      </c>
      <c r="G28" s="3" cm="1">
        <f t="array" ref="G28">bstln($F$24:$G$29,F28,$F$27,F29)</f>
        <v>4.8500000000000001E-2</v>
      </c>
      <c r="L28" s="1">
        <v>6</v>
      </c>
      <c r="M28" s="7">
        <f t="shared" si="0"/>
        <v>4.8058064347429985E-2</v>
      </c>
    </row>
    <row r="29" spans="1:13" x14ac:dyDescent="0.35">
      <c r="C29" s="1">
        <v>7</v>
      </c>
      <c r="D29" s="3" cm="1">
        <f t="array" ref="D29">bstln($C$24:$D$47,C29,$C$27,$C$32)</f>
        <v>0.04</v>
      </c>
      <c r="F29" s="5">
        <v>7</v>
      </c>
      <c r="G29" s="9">
        <v>5.5E-2</v>
      </c>
      <c r="L29" s="1">
        <v>7</v>
      </c>
      <c r="M29" s="7">
        <f t="shared" si="0"/>
        <v>5.2081185231086957E-2</v>
      </c>
    </row>
    <row r="30" spans="1:13" x14ac:dyDescent="0.35">
      <c r="C30" s="1">
        <v>8</v>
      </c>
      <c r="D30" s="3" cm="1">
        <f t="array" ref="D30">bstln($C$24:$D$47,C30,$C$27,$C$32)</f>
        <v>4.1999999999999996E-2</v>
      </c>
      <c r="L30" s="1">
        <v>8</v>
      </c>
      <c r="M30" s="7">
        <f t="shared" si="0"/>
        <v>5.6108107506085414E-2</v>
      </c>
    </row>
    <row r="31" spans="1:13" x14ac:dyDescent="0.35">
      <c r="C31" s="1">
        <v>9</v>
      </c>
      <c r="D31" s="3" cm="1">
        <f t="array" ref="D31">bstln($C$24:$D$47,C31,$C$27,$C$32)</f>
        <v>4.3999999999999997E-2</v>
      </c>
      <c r="L31" s="1">
        <v>9</v>
      </c>
      <c r="M31" s="7">
        <f t="shared" si="0"/>
        <v>6.0138816481720481E-2</v>
      </c>
    </row>
    <row r="32" spans="1:13" x14ac:dyDescent="0.35">
      <c r="C32" s="5">
        <v>10</v>
      </c>
      <c r="D32" s="2">
        <v>4.5999999999999999E-2</v>
      </c>
      <c r="L32" s="5">
        <v>10</v>
      </c>
      <c r="M32" s="6">
        <f t="shared" si="0"/>
        <v>6.4173297538388852E-2</v>
      </c>
    </row>
    <row r="33" spans="3:13" x14ac:dyDescent="0.35">
      <c r="C33" s="1">
        <v>11</v>
      </c>
      <c r="D33" s="3" cm="1">
        <f t="array" ref="D33">bstln($C$24:$D$47,C33,$C$32,$C$37)</f>
        <v>4.6399999999999997E-2</v>
      </c>
      <c r="L33" s="1">
        <v>11</v>
      </c>
      <c r="M33" s="7">
        <f t="shared" si="0"/>
        <v>5.04084226609256E-2</v>
      </c>
    </row>
    <row r="34" spans="3:13" x14ac:dyDescent="0.35">
      <c r="C34" s="1">
        <v>12</v>
      </c>
      <c r="D34" s="3" cm="1">
        <f t="array" ref="D34">bstln($C$24:$D$47,C34,$C$32,$C$37)</f>
        <v>4.6800000000000001E-2</v>
      </c>
      <c r="L34" s="1">
        <v>12</v>
      </c>
      <c r="M34" s="7">
        <f t="shared" si="0"/>
        <v>5.1210104613184759E-2</v>
      </c>
    </row>
    <row r="35" spans="3:13" x14ac:dyDescent="0.35">
      <c r="C35" s="1">
        <v>13</v>
      </c>
      <c r="D35" s="3" cm="1">
        <f t="array" ref="D35">bstln($C$24:$D$47,C35,$C$32,$C$37)</f>
        <v>4.7199999999999999E-2</v>
      </c>
      <c r="L35" s="1">
        <v>13</v>
      </c>
      <c r="M35" s="7">
        <f t="shared" si="0"/>
        <v>5.2011938768040666E-2</v>
      </c>
    </row>
    <row r="36" spans="3:13" x14ac:dyDescent="0.35">
      <c r="C36" s="1">
        <v>14</v>
      </c>
      <c r="D36" s="3" cm="1">
        <f t="array" ref="D36">bstln($C$24:$D$47,C36,$C$32,$C$37)</f>
        <v>4.7600000000000003E-2</v>
      </c>
      <c r="L36" s="1">
        <v>14</v>
      </c>
      <c r="M36" s="7">
        <f t="shared" si="0"/>
        <v>5.2813925008954765E-2</v>
      </c>
    </row>
    <row r="37" spans="3:13" x14ac:dyDescent="0.35">
      <c r="C37" s="5">
        <v>15</v>
      </c>
      <c r="D37" s="2">
        <v>4.8000000000000001E-2</v>
      </c>
      <c r="L37" s="1">
        <v>15</v>
      </c>
      <c r="M37" s="7">
        <f t="shared" si="0"/>
        <v>5.3616063219488863E-2</v>
      </c>
    </row>
    <row r="38" spans="3:13" x14ac:dyDescent="0.35">
      <c r="C38" s="1">
        <v>16</v>
      </c>
      <c r="D38" s="3" cm="1">
        <f t="array" ref="D38">bstln($C$24:$D$47,C38,$C$37,$C$42)</f>
        <v>4.8000000000000001E-2</v>
      </c>
      <c r="L38" s="1">
        <v>16</v>
      </c>
      <c r="M38" s="7">
        <f t="shared" si="0"/>
        <v>4.8000000000000487E-2</v>
      </c>
    </row>
    <row r="39" spans="3:13" x14ac:dyDescent="0.35">
      <c r="C39" s="1">
        <v>17</v>
      </c>
      <c r="D39" s="3" cm="1">
        <f t="array" ref="D39">bstln($C$24:$D$47,C39,$C$37,$C$42)</f>
        <v>4.8000000000000001E-2</v>
      </c>
      <c r="L39" s="1">
        <v>17</v>
      </c>
      <c r="M39" s="7">
        <f t="shared" si="0"/>
        <v>4.8000000000000043E-2</v>
      </c>
    </row>
    <row r="40" spans="3:13" x14ac:dyDescent="0.35">
      <c r="C40" s="1">
        <v>18</v>
      </c>
      <c r="D40" s="3" cm="1">
        <f t="array" ref="D40">bstln($C$24:$D$47,C40,$C$37,$C$42)</f>
        <v>4.8000000000000001E-2</v>
      </c>
      <c r="L40" s="1">
        <v>18</v>
      </c>
      <c r="M40" s="7">
        <f t="shared" si="0"/>
        <v>4.8000000000000265E-2</v>
      </c>
    </row>
    <row r="41" spans="3:13" x14ac:dyDescent="0.35">
      <c r="C41" s="1">
        <v>19</v>
      </c>
      <c r="D41" s="3" cm="1">
        <f t="array" ref="D41">bstln($C$24:$D$47,C41,$C$37,$C$42)</f>
        <v>4.8000000000000001E-2</v>
      </c>
      <c r="L41" s="1">
        <v>19</v>
      </c>
      <c r="M41" s="7">
        <f t="shared" si="0"/>
        <v>4.7999999999999821E-2</v>
      </c>
    </row>
    <row r="42" spans="3:13" x14ac:dyDescent="0.35">
      <c r="C42" s="5">
        <v>20</v>
      </c>
      <c r="D42" s="2">
        <v>4.8000000000000001E-2</v>
      </c>
      <c r="L42" s="1">
        <v>20</v>
      </c>
      <c r="M42" s="7">
        <f t="shared" si="0"/>
        <v>4.8000000000000487E-2</v>
      </c>
    </row>
    <row r="43" spans="3:13" x14ac:dyDescent="0.35">
      <c r="C43" s="1">
        <v>21</v>
      </c>
      <c r="D43" s="3" cm="1">
        <f t="array" ref="D43">bstln($C$24:$D$47,C43,$C$42,$C$47)</f>
        <v>4.7899999999999998E-2</v>
      </c>
      <c r="L43" s="1">
        <v>21</v>
      </c>
      <c r="M43" s="7">
        <f t="shared" si="0"/>
        <v>4.5902002606354797E-2</v>
      </c>
    </row>
    <row r="44" spans="3:13" x14ac:dyDescent="0.35">
      <c r="C44" s="1">
        <v>22</v>
      </c>
      <c r="D44" s="3" cm="1">
        <f t="array" ref="D44">bstln($C$24:$D$47,C44,$C$42,$C$47)</f>
        <v>4.7800000000000002E-2</v>
      </c>
      <c r="L44" s="1">
        <v>22</v>
      </c>
      <c r="M44" s="7">
        <f t="shared" si="0"/>
        <v>4.5702203007023767E-2</v>
      </c>
    </row>
    <row r="45" spans="3:13" x14ac:dyDescent="0.35">
      <c r="C45" s="1">
        <v>23</v>
      </c>
      <c r="D45" s="3" cm="1">
        <f t="array" ref="D45">bstln($C$24:$D$47,C45,$C$42,$C$47)</f>
        <v>4.7699999999999999E-2</v>
      </c>
      <c r="L45" s="1">
        <v>23</v>
      </c>
      <c r="M45" s="7">
        <f t="shared" si="0"/>
        <v>4.5502412970604977E-2</v>
      </c>
    </row>
    <row r="46" spans="3:13" x14ac:dyDescent="0.35">
      <c r="C46" s="1">
        <v>24</v>
      </c>
      <c r="D46" s="3" cm="1">
        <f t="array" ref="D46">bstln($C$24:$D$47,C46,$C$42,$C$47)</f>
        <v>4.7600000000000003E-2</v>
      </c>
      <c r="L46" s="1">
        <v>24</v>
      </c>
      <c r="M46" s="7">
        <f t="shared" si="0"/>
        <v>4.5302632498917639E-2</v>
      </c>
    </row>
    <row r="47" spans="3:13" x14ac:dyDescent="0.35">
      <c r="C47" s="5">
        <v>25</v>
      </c>
      <c r="D47" s="2">
        <v>4.7500000000000001E-2</v>
      </c>
      <c r="L47" s="1">
        <v>25</v>
      </c>
      <c r="M47" s="7">
        <f t="shared" si="0"/>
        <v>4.5102861593794064E-2</v>
      </c>
    </row>
  </sheetData>
  <mergeCells count="1">
    <mergeCell ref="A21:G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actda</dc:creator>
  <cp:lastModifiedBy>actda</cp:lastModifiedBy>
  <dcterms:created xsi:type="dcterms:W3CDTF">2020-11-26T12:12:38Z</dcterms:created>
  <dcterms:modified xsi:type="dcterms:W3CDTF">2020-12-11T13:42:02Z</dcterms:modified>
</cp:coreProperties>
</file>