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tda\OneDrive\Documentos\"/>
    </mc:Choice>
  </mc:AlternateContent>
  <xr:revisionPtr revIDLastSave="0" documentId="13_ncr:1_{2CBA8DB4-F611-4E21-BCB6-5E206DD5B039}" xr6:coauthVersionLast="45" xr6:coauthVersionMax="45" xr10:uidLastSave="{00000000-0000-0000-0000-000000000000}"/>
  <bookViews>
    <workbookView xWindow="-110" yWindow="-110" windowWidth="38620" windowHeight="21220" activeTab="1" xr2:uid="{90D08473-336C-4A81-8C2A-9F93E25F6248}"/>
  </bookViews>
  <sheets>
    <sheet name="Hw" sheetId="1" r:id="rId1"/>
    <sheet name="Ex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5" i="2" l="1"/>
  <c r="C37" i="2"/>
  <c r="C38" i="2"/>
  <c r="C39" i="2"/>
  <c r="C40" i="2"/>
  <c r="C41" i="2"/>
  <c r="C42" i="2"/>
  <c r="C43" i="2"/>
  <c r="C44" i="2"/>
  <c r="C36" i="2"/>
  <c r="I19" i="2"/>
  <c r="F20" i="2"/>
  <c r="C22" i="2"/>
  <c r="I21" i="2" a="1"/>
  <c r="C48" i="2" a="1"/>
  <c r="C27" i="2" a="1"/>
  <c r="C25" i="2" a="1"/>
  <c r="I22" i="2" a="1"/>
  <c r="C49" i="2" a="1"/>
  <c r="C47" i="2" a="1"/>
  <c r="C26" i="2" a="1"/>
  <c r="F22" i="2" a="1"/>
  <c r="C24" i="2" a="1"/>
  <c r="F48" i="2" a="1"/>
  <c r="F47" i="2" a="1"/>
  <c r="I24" i="2" a="1"/>
  <c r="F23" i="2" a="1"/>
  <c r="I23" i="2" a="1"/>
  <c r="F49" i="2" a="1"/>
  <c r="F25" i="2" a="1"/>
  <c r="F24" i="2" a="1"/>
  <c r="I21" i="2" l="1"/>
  <c r="C25" i="2"/>
  <c r="I22" i="2"/>
  <c r="F23" i="2"/>
  <c r="F49" i="2"/>
  <c r="C49" i="2"/>
  <c r="C48" i="2"/>
  <c r="C47" i="2"/>
  <c r="F48" i="2"/>
  <c r="F47" i="2"/>
  <c r="I24" i="2"/>
  <c r="I23" i="2"/>
  <c r="F25" i="2"/>
  <c r="F24" i="2"/>
  <c r="F27" i="2" s="1"/>
  <c r="F29" i="2" s="1"/>
  <c r="C27" i="2"/>
  <c r="C26" i="2"/>
  <c r="F22" i="2"/>
  <c r="C24" i="2"/>
  <c r="H8" i="2" a="1"/>
  <c r="D8" i="2" a="1"/>
  <c r="F8" i="2" a="1"/>
  <c r="C28" i="2" l="1"/>
  <c r="C30" i="2" s="1"/>
  <c r="C29" i="2"/>
  <c r="C31" i="2" s="1"/>
  <c r="I25" i="2"/>
  <c r="I27" i="2" s="1"/>
  <c r="I26" i="2"/>
  <c r="I28" i="2" s="1"/>
  <c r="F26" i="2"/>
  <c r="F28" i="2" s="1"/>
  <c r="H8" i="2"/>
  <c r="D8" i="2"/>
  <c r="F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<sst xmlns="http://schemas.openxmlformats.org/spreadsheetml/2006/main" count="70" uniqueCount="32">
  <si>
    <t>Tarea</t>
  </si>
  <si>
    <t>Ex 2 "Calcular los precios de los siguientes instrumentos"</t>
  </si>
  <si>
    <t>Datos</t>
  </si>
  <si>
    <t>F</t>
  </si>
  <si>
    <t>C</t>
  </si>
  <si>
    <t>n</t>
  </si>
  <si>
    <t>r</t>
  </si>
  <si>
    <t>i</t>
  </si>
  <si>
    <t>k</t>
  </si>
  <si>
    <t>Ex 3</t>
  </si>
  <si>
    <t>PRECIOS</t>
  </si>
  <si>
    <t>ANUALIDAD</t>
  </si>
  <si>
    <t>BONO</t>
  </si>
  <si>
    <t>PERPETUIDAD</t>
  </si>
  <si>
    <t>CÁLCULOS</t>
  </si>
  <si>
    <t>DM</t>
  </si>
  <si>
    <t>CONVEXIDAD</t>
  </si>
  <si>
    <t>DURACIÓN M</t>
  </si>
  <si>
    <t>P(i)</t>
  </si>
  <si>
    <t>P(i+h) EXACTO</t>
  </si>
  <si>
    <t>P(i+h) Aprox 1°</t>
  </si>
  <si>
    <t>P(i+h) Aprox 2°</t>
  </si>
  <si>
    <t>ERROR 1°</t>
  </si>
  <si>
    <t>ERROR 2°</t>
  </si>
  <si>
    <t>i+h</t>
  </si>
  <si>
    <t>h</t>
  </si>
  <si>
    <t>K</t>
  </si>
  <si>
    <t>t</t>
  </si>
  <si>
    <t>Flujos generales</t>
  </si>
  <si>
    <t>Conv</t>
  </si>
  <si>
    <t>p parcial</t>
  </si>
  <si>
    <t>Flujos 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</si>
</sst>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;[Red]\-&quot;$&quot;#,##0.0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8" fontId="0" fillId="0" borderId="1" xfId="1" applyNumberFormat="1" applyFont="1" applyBorder="1" applyAlignment="1">
      <alignment horizontal="center"/>
    </xf>
    <xf numFmtId="8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6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8" fontId="0" fillId="0" borderId="0" xfId="0" applyNumberFormat="1"/>
    <xf numFmtId="0" fontId="0" fillId="0" borderId="1" xfId="0" applyNumberFormat="1" applyBorder="1" applyAlignment="1">
      <alignment horizontal="center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8" fontId="0" fillId="0" borderId="1" xfId="0" applyNumberForma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0</xdr:colOff>
      <xdr:row>34</xdr:row>
      <xdr:rowOff>165099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C9B9D3-75DE-4251-8435-081B115B6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144000" cy="64261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B9E4-2276-4B5C-AD7D-98B9B4E0624E}">
  <sheetPr codeName="Sheet1">
    <tabColor theme="4" tint="-0.499984740745262"/>
  </sheetPr>
  <dimension ref="N1:R35"/>
  <sheetViews>
    <sheetView workbookViewId="0">
      <selection activeCell="D35" sqref="D35"/>
    </sheetView>
  </sheetViews>
  <sheetFormatPr defaultColWidth="0" defaultRowHeight="14.5" zeroHeight="1" x14ac:dyDescent="0.35"/>
  <cols>
    <col min="1" max="15" width="8.7265625" customWidth="1"/>
    <col min="16" max="18" width="8.7265625" hidden="1" customWidth="1"/>
  </cols>
  <sheetData>
    <row r="1" spans="14:14" x14ac:dyDescent="0.35"/>
    <row r="2" spans="14:14" x14ac:dyDescent="0.35"/>
    <row r="3" spans="14:14" x14ac:dyDescent="0.35"/>
    <row r="4" spans="14:14" x14ac:dyDescent="0.35"/>
    <row r="5" spans="14:14" x14ac:dyDescent="0.35"/>
    <row r="6" spans="14:14" x14ac:dyDescent="0.35"/>
    <row r="7" spans="14:14" x14ac:dyDescent="0.35"/>
    <row r="8" spans="14:14" x14ac:dyDescent="0.35"/>
    <row r="9" spans="14:14" x14ac:dyDescent="0.35"/>
    <row r="10" spans="14:14" x14ac:dyDescent="0.35"/>
    <row r="11" spans="14:14" x14ac:dyDescent="0.35"/>
    <row r="12" spans="14:14" x14ac:dyDescent="0.35">
      <c r="N12" t="s">
        <v>0</v>
      </c>
    </row>
    <row r="13" spans="14:14" x14ac:dyDescent="0.35"/>
    <row r="14" spans="14:14" x14ac:dyDescent="0.35"/>
    <row r="15" spans="14:14" x14ac:dyDescent="0.35"/>
    <row r="16" spans="14:14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CBDBE-34FC-4B70-9227-0D27E8281A11}">
  <sheetPr codeName="Sheet2">
    <tabColor theme="4" tint="0.39997558519241921"/>
  </sheetPr>
  <dimension ref="A1:J51"/>
  <sheetViews>
    <sheetView tabSelected="1" workbookViewId="0">
      <selection activeCell="G29" sqref="G29"/>
    </sheetView>
  </sheetViews>
  <sheetFormatPr defaultColWidth="0" defaultRowHeight="14.5" zeroHeight="1" x14ac:dyDescent="0.35"/>
  <cols>
    <col min="1" max="1" width="8.7265625" customWidth="1"/>
    <col min="2" max="2" width="12.7265625" bestFit="1" customWidth="1"/>
    <col min="3" max="4" width="8.7265625" customWidth="1"/>
    <col min="5" max="5" width="13.26953125" bestFit="1" customWidth="1"/>
    <col min="6" max="6" width="13.90625" bestFit="1" customWidth="1"/>
    <col min="7" max="7" width="8.7265625" customWidth="1"/>
    <col min="8" max="8" width="13.26953125" bestFit="1" customWidth="1"/>
    <col min="9" max="9" width="11.1796875" customWidth="1"/>
    <col min="10" max="10" width="8.7265625" customWidth="1"/>
    <col min="11" max="16384" width="8.7265625" hidden="1"/>
  </cols>
  <sheetData>
    <row r="1" spans="1:9" s="16" customFormat="1" x14ac:dyDescent="0.35">
      <c r="A1" s="11" t="s">
        <v>1</v>
      </c>
    </row>
    <row r="2" spans="1:9" s="16" customFormat="1" x14ac:dyDescent="0.35"/>
    <row r="3" spans="1:9" x14ac:dyDescent="0.35"/>
    <row r="4" spans="1:9" x14ac:dyDescent="0.35">
      <c r="A4" s="14" t="s">
        <v>2</v>
      </c>
      <c r="B4" s="14"/>
    </row>
    <row r="5" spans="1:9" x14ac:dyDescent="0.35">
      <c r="A5" s="1" t="s">
        <v>3</v>
      </c>
      <c r="B5" s="4">
        <v>1000</v>
      </c>
    </row>
    <row r="6" spans="1:9" x14ac:dyDescent="0.35">
      <c r="A6" s="1" t="s">
        <v>4</v>
      </c>
      <c r="B6" s="4">
        <v>1000</v>
      </c>
      <c r="D6" s="13" t="s">
        <v>10</v>
      </c>
      <c r="E6" s="13"/>
      <c r="F6" s="13"/>
      <c r="G6" s="13"/>
      <c r="H6" s="13"/>
      <c r="I6" s="13"/>
    </row>
    <row r="7" spans="1:9" x14ac:dyDescent="0.35">
      <c r="A7" s="1" t="s">
        <v>5</v>
      </c>
      <c r="B7" s="1">
        <v>10</v>
      </c>
      <c r="D7" s="14" t="s">
        <v>11</v>
      </c>
      <c r="E7" s="14"/>
      <c r="F7" s="14" t="s">
        <v>12</v>
      </c>
      <c r="G7" s="14"/>
      <c r="H7" s="14" t="s">
        <v>13</v>
      </c>
      <c r="I7" s="14"/>
    </row>
    <row r="8" spans="1:9" x14ac:dyDescent="0.35">
      <c r="A8" s="1" t="s">
        <v>6</v>
      </c>
      <c r="B8" s="2">
        <v>7.0000000000000007E-2</v>
      </c>
      <c r="D8" s="17" cm="1">
        <f t="array" ref="D8">B10*AnualidadVP(B7,B9)</f>
        <v>67100.81398941447</v>
      </c>
      <c r="E8" s="17"/>
      <c r="F8" s="17" cm="1">
        <f t="array" ref="F8">BBasica(B7,B5,B6,B8,B9)</f>
        <v>932.89918601058548</v>
      </c>
      <c r="G8" s="17"/>
      <c r="H8" s="17" cm="1">
        <f t="array" ref="H8">PerpetuityPrice(B9)*B10</f>
        <v>125000</v>
      </c>
      <c r="I8" s="17"/>
    </row>
    <row r="9" spans="1:9" x14ac:dyDescent="0.35">
      <c r="A9" s="1" t="s">
        <v>7</v>
      </c>
      <c r="B9" s="2">
        <v>0.08</v>
      </c>
    </row>
    <row r="10" spans="1:9" x14ac:dyDescent="0.35">
      <c r="A10" s="3" t="s">
        <v>8</v>
      </c>
      <c r="B10" s="4">
        <v>10000</v>
      </c>
      <c r="E10" s="9"/>
    </row>
    <row r="11" spans="1:9" x14ac:dyDescent="0.35"/>
    <row r="12" spans="1:9" s="12" customFormat="1" x14ac:dyDescent="0.35">
      <c r="A12" s="11" t="s">
        <v>9</v>
      </c>
    </row>
    <row r="13" spans="1:9" s="12" customFormat="1" x14ac:dyDescent="0.35"/>
    <row r="14" spans="1:9" x14ac:dyDescent="0.35"/>
    <row r="15" spans="1:9" x14ac:dyDescent="0.35">
      <c r="B15" s="14" t="s">
        <v>12</v>
      </c>
      <c r="C15" s="14"/>
      <c r="E15" s="14" t="s">
        <v>11</v>
      </c>
      <c r="F15" s="14"/>
      <c r="H15" s="15" t="s">
        <v>13</v>
      </c>
      <c r="I15" s="15"/>
    </row>
    <row r="16" spans="1:9" x14ac:dyDescent="0.35">
      <c r="B16" s="1" t="s">
        <v>3</v>
      </c>
      <c r="C16" s="7">
        <v>1000</v>
      </c>
      <c r="E16" s="1" t="s">
        <v>26</v>
      </c>
      <c r="F16" s="7">
        <v>10000</v>
      </c>
      <c r="H16" s="1" t="s">
        <v>26</v>
      </c>
      <c r="I16" s="7">
        <v>10000</v>
      </c>
    </row>
    <row r="17" spans="2:9" x14ac:dyDescent="0.35">
      <c r="B17" s="1" t="s">
        <v>4</v>
      </c>
      <c r="C17" s="7">
        <v>1000</v>
      </c>
      <c r="E17" s="1" t="s">
        <v>5</v>
      </c>
      <c r="F17" s="1">
        <v>10</v>
      </c>
      <c r="H17" s="1" t="s">
        <v>7</v>
      </c>
      <c r="I17" s="2">
        <v>0.08</v>
      </c>
    </row>
    <row r="18" spans="2:9" x14ac:dyDescent="0.35">
      <c r="B18" s="1" t="s">
        <v>5</v>
      </c>
      <c r="C18" s="1">
        <v>10</v>
      </c>
      <c r="E18" s="1" t="s">
        <v>7</v>
      </c>
      <c r="F18" s="2">
        <v>0.08</v>
      </c>
      <c r="H18" s="1" t="s">
        <v>24</v>
      </c>
      <c r="I18" s="8">
        <v>7.4999999999999997E-2</v>
      </c>
    </row>
    <row r="19" spans="2:9" x14ac:dyDescent="0.35">
      <c r="B19" s="1" t="s">
        <v>6</v>
      </c>
      <c r="C19" s="2">
        <v>7.0000000000000007E-2</v>
      </c>
      <c r="E19" s="1" t="s">
        <v>24</v>
      </c>
      <c r="F19" s="8">
        <v>7.4999999999999997E-2</v>
      </c>
      <c r="H19" s="1" t="s">
        <v>25</v>
      </c>
      <c r="I19" s="8">
        <f>I18-I17</f>
        <v>-5.0000000000000044E-3</v>
      </c>
    </row>
    <row r="20" spans="2:9" x14ac:dyDescent="0.35">
      <c r="B20" s="1" t="s">
        <v>7</v>
      </c>
      <c r="C20" s="2">
        <v>0.08</v>
      </c>
      <c r="E20" s="1" t="s">
        <v>25</v>
      </c>
      <c r="F20" s="8">
        <f>F19-F18</f>
        <v>-5.0000000000000044E-3</v>
      </c>
      <c r="H20" s="14" t="s">
        <v>14</v>
      </c>
      <c r="I20" s="14"/>
    </row>
    <row r="21" spans="2:9" x14ac:dyDescent="0.35">
      <c r="B21" s="1" t="s">
        <v>24</v>
      </c>
      <c r="C21" s="8">
        <v>7.4999999999999997E-2</v>
      </c>
      <c r="E21" s="14" t="s">
        <v>14</v>
      </c>
      <c r="F21" s="14"/>
      <c r="H21" s="1" t="s">
        <v>17</v>
      </c>
      <c r="I21" s="1" cm="1">
        <f t="array" ref="I21">MD_Perpetuity(I17)</f>
        <v>12.5</v>
      </c>
    </row>
    <row r="22" spans="2:9" x14ac:dyDescent="0.35">
      <c r="B22" s="1" t="s">
        <v>25</v>
      </c>
      <c r="C22" s="8">
        <f>C21-C20</f>
        <v>-5.0000000000000044E-3</v>
      </c>
      <c r="E22" s="1" t="s">
        <v>17</v>
      </c>
      <c r="F22" s="1" cm="1">
        <f t="array" ref="F22">MD_Annuity(F17,F18)</f>
        <v>4.5104758452459093</v>
      </c>
      <c r="H22" s="1" t="s">
        <v>16</v>
      </c>
      <c r="I22" s="1" cm="1">
        <f t="array" ref="I22">Convexity_Perpetuity(I17)</f>
        <v>312.5</v>
      </c>
    </row>
    <row r="23" spans="2:9" x14ac:dyDescent="0.35">
      <c r="B23" s="14" t="s">
        <v>14</v>
      </c>
      <c r="C23" s="14"/>
      <c r="E23" s="1" t="s">
        <v>16</v>
      </c>
      <c r="F23" s="10" cm="1">
        <f t="array" ref="F23">Convexity_Annuity(F18,F17)</f>
        <v>31.387113073467184</v>
      </c>
      <c r="H23" s="1" t="s">
        <v>18</v>
      </c>
      <c r="I23" s="7" cm="1">
        <f t="array" ref="I23">I16*PerpetuityPrice(I17)</f>
        <v>125000</v>
      </c>
    </row>
    <row r="24" spans="2:9" x14ac:dyDescent="0.35">
      <c r="B24" s="1" t="s">
        <v>17</v>
      </c>
      <c r="C24" s="1" cm="1">
        <f t="array" ref="C24">MD_Bond(C16,C17,C18,C20,C19)</f>
        <v>6.8682928384216115</v>
      </c>
      <c r="E24" s="1" t="s">
        <v>18</v>
      </c>
      <c r="F24" s="5" cm="1">
        <f t="array" ref="F24">F16*AnualidadVP(F17,F18)</f>
        <v>67100.81398941447</v>
      </c>
      <c r="H24" s="1" t="s">
        <v>19</v>
      </c>
      <c r="I24" s="5" cm="1">
        <f t="array" ref="I24">I16*PerpetuityPrice(I18)</f>
        <v>133333.33333333334</v>
      </c>
    </row>
    <row r="25" spans="2:9" x14ac:dyDescent="0.35">
      <c r="B25" s="1" t="s">
        <v>16</v>
      </c>
      <c r="C25" s="1" cm="1">
        <f t="array" ref="C25">Convexity_Bond(C20,C18,C16,C19,C17)</f>
        <v>62.62758096398229</v>
      </c>
      <c r="E25" s="1" t="s">
        <v>19</v>
      </c>
      <c r="F25" s="5" cm="1">
        <f t="array" ref="F25">F16*AnualidadVP(F17,F19)</f>
        <v>68640.809559804751</v>
      </c>
      <c r="H25" s="1" t="s">
        <v>20</v>
      </c>
      <c r="I25" s="6">
        <f>I23-I19*I21*I23</f>
        <v>132812.5</v>
      </c>
    </row>
    <row r="26" spans="2:9" x14ac:dyDescent="0.35">
      <c r="B26" s="1" t="s">
        <v>18</v>
      </c>
      <c r="C26" s="5" cm="1">
        <f t="array" ref="C26">BBasica(C18,C16,C17,C19,C20)</f>
        <v>932.89918601058548</v>
      </c>
      <c r="E26" s="1" t="s">
        <v>20</v>
      </c>
      <c r="F26" s="5">
        <f>F24-F20*F22*F24</f>
        <v>68614.096992892431</v>
      </c>
      <c r="H26" s="1" t="s">
        <v>21</v>
      </c>
      <c r="I26" s="7">
        <f>I23*(1-I19*I21+POWER(I19,2)*I22*POWER(2,-1))</f>
        <v>133300.78125</v>
      </c>
    </row>
    <row r="27" spans="2:9" x14ac:dyDescent="0.35">
      <c r="B27" s="1" t="s">
        <v>19</v>
      </c>
      <c r="C27" s="5" cm="1">
        <f t="array" ref="C27">BBasica(C18,C16,C17,C19,C21)</f>
        <v>965.67959522009755</v>
      </c>
      <c r="E27" s="1" t="s">
        <v>21</v>
      </c>
      <c r="F27" s="5">
        <f>F24*(1-F20*F22+POWER(F20,2)*F23*POWER(2,-1))</f>
        <v>68640.423253342538</v>
      </c>
      <c r="H27" s="1" t="s">
        <v>22</v>
      </c>
      <c r="I27" s="5">
        <f>I25-I24</f>
        <v>-520.83333333334303</v>
      </c>
    </row>
    <row r="28" spans="2:9" x14ac:dyDescent="0.35">
      <c r="B28" s="1" t="s">
        <v>20</v>
      </c>
      <c r="C28" s="5">
        <f>C26-C22*C24*C26</f>
        <v>964.93631000181483</v>
      </c>
      <c r="E28" s="1" t="s">
        <v>22</v>
      </c>
      <c r="F28" s="5">
        <f>F26-F25</f>
        <v>-26.712566912319744</v>
      </c>
      <c r="H28" s="1" t="s">
        <v>23</v>
      </c>
      <c r="I28" s="5">
        <f>I26-I24</f>
        <v>-32.552083333343035</v>
      </c>
    </row>
    <row r="29" spans="2:9" x14ac:dyDescent="0.35">
      <c r="B29" s="1" t="s">
        <v>21</v>
      </c>
      <c r="C29" s="5">
        <f>C26*(1-C22*C24+POWER(C22,2)*C25*POWER(2,-1))</f>
        <v>965.66662524310357</v>
      </c>
      <c r="E29" s="1" t="s">
        <v>23</v>
      </c>
      <c r="F29" s="5">
        <f>F27-F25</f>
        <v>-0.38630646221281495</v>
      </c>
    </row>
    <row r="30" spans="2:9" x14ac:dyDescent="0.35">
      <c r="B30" s="1" t="s">
        <v>22</v>
      </c>
      <c r="C30" s="5">
        <f>C28-C27</f>
        <v>-0.74328521828272187</v>
      </c>
    </row>
    <row r="31" spans="2:9" x14ac:dyDescent="0.35">
      <c r="B31" s="1" t="s">
        <v>23</v>
      </c>
      <c r="C31" s="5">
        <f>C29-C27</f>
        <v>-1.2969976993986165E-2</v>
      </c>
    </row>
    <row r="32" spans="2:9" x14ac:dyDescent="0.35"/>
    <row r="33" spans="2:6" hidden="1" x14ac:dyDescent="0.35"/>
    <row r="34" spans="2:6" hidden="1" x14ac:dyDescent="0.35"/>
    <row r="35" spans="2:6" hidden="1" x14ac:dyDescent="0.35">
      <c r="B35" t="s">
        <v>27</v>
      </c>
      <c r="C35" t="s">
        <v>30</v>
      </c>
      <c r="E35" t="s">
        <v>27</v>
      </c>
      <c r="F35" t="s">
        <v>8</v>
      </c>
    </row>
    <row r="36" spans="2:6" hidden="1" x14ac:dyDescent="0.35">
      <c r="B36">
        <v>1</v>
      </c>
      <c r="C36" s="9">
        <f>$C$16*$C$19</f>
        <v>70</v>
      </c>
      <c r="E36">
        <v>1</v>
      </c>
      <c r="F36">
        <v>10000</v>
      </c>
    </row>
    <row r="37" spans="2:6" hidden="1" x14ac:dyDescent="0.35">
      <c r="B37">
        <v>2</v>
      </c>
      <c r="C37" s="9">
        <f t="shared" ref="C37:C44" si="0">$C$16*$C$19</f>
        <v>70</v>
      </c>
      <c r="E37">
        <v>2</v>
      </c>
      <c r="F37">
        <v>10000</v>
      </c>
    </row>
    <row r="38" spans="2:6" hidden="1" x14ac:dyDescent="0.35">
      <c r="B38">
        <v>3</v>
      </c>
      <c r="C38" s="9">
        <f t="shared" si="0"/>
        <v>70</v>
      </c>
      <c r="E38">
        <v>3</v>
      </c>
      <c r="F38">
        <v>10000</v>
      </c>
    </row>
    <row r="39" spans="2:6" hidden="1" x14ac:dyDescent="0.35">
      <c r="B39">
        <v>4</v>
      </c>
      <c r="C39" s="9">
        <f t="shared" si="0"/>
        <v>70</v>
      </c>
      <c r="E39">
        <v>4</v>
      </c>
      <c r="F39">
        <v>10000</v>
      </c>
    </row>
    <row r="40" spans="2:6" hidden="1" x14ac:dyDescent="0.35">
      <c r="B40">
        <v>5</v>
      </c>
      <c r="C40" s="9">
        <f t="shared" si="0"/>
        <v>70</v>
      </c>
      <c r="E40">
        <v>5</v>
      </c>
      <c r="F40">
        <v>10000</v>
      </c>
    </row>
    <row r="41" spans="2:6" hidden="1" x14ac:dyDescent="0.35">
      <c r="B41">
        <v>6</v>
      </c>
      <c r="C41" s="9">
        <f t="shared" si="0"/>
        <v>70</v>
      </c>
      <c r="E41">
        <v>6</v>
      </c>
      <c r="F41">
        <v>10000</v>
      </c>
    </row>
    <row r="42" spans="2:6" hidden="1" x14ac:dyDescent="0.35">
      <c r="B42">
        <v>7</v>
      </c>
      <c r="C42" s="9">
        <f t="shared" si="0"/>
        <v>70</v>
      </c>
      <c r="E42">
        <v>7</v>
      </c>
      <c r="F42">
        <v>10000</v>
      </c>
    </row>
    <row r="43" spans="2:6" hidden="1" x14ac:dyDescent="0.35">
      <c r="B43">
        <v>8</v>
      </c>
      <c r="C43" s="9">
        <f t="shared" si="0"/>
        <v>70</v>
      </c>
      <c r="E43">
        <v>8</v>
      </c>
      <c r="F43">
        <v>10000</v>
      </c>
    </row>
    <row r="44" spans="2:6" hidden="1" x14ac:dyDescent="0.35">
      <c r="B44">
        <v>9</v>
      </c>
      <c r="C44" s="9">
        <f t="shared" si="0"/>
        <v>70</v>
      </c>
      <c r="E44">
        <v>9</v>
      </c>
      <c r="F44">
        <v>10000</v>
      </c>
    </row>
    <row r="45" spans="2:6" hidden="1" x14ac:dyDescent="0.35">
      <c r="B45">
        <v>10</v>
      </c>
      <c r="C45" s="9">
        <f>$C$16*$C$19+C17</f>
        <v>1070</v>
      </c>
      <c r="E45">
        <v>10</v>
      </c>
      <c r="F45">
        <v>10000</v>
      </c>
    </row>
    <row r="46" spans="2:6" hidden="1" x14ac:dyDescent="0.35"/>
    <row r="47" spans="2:6" hidden="1" x14ac:dyDescent="0.35">
      <c r="B47" t="s">
        <v>31</v>
      </c>
      <c r="C47" cm="1">
        <f t="array" ref="C47">FlujosGeneralesVP(C36:C45,C20)</f>
        <v>932.89918601058503</v>
      </c>
      <c r="E47" t="s">
        <v>28</v>
      </c>
      <c r="F47" cm="1">
        <f t="array" ref="F47">FlujosGeneralesVP(F36:F45,F18)</f>
        <v>67100.813989414411</v>
      </c>
    </row>
    <row r="48" spans="2:6" hidden="1" x14ac:dyDescent="0.35">
      <c r="B48" t="s">
        <v>15</v>
      </c>
      <c r="C48" cm="1">
        <f t="array" ref="C48">FlujosGeneralesDM(C36:C45,C20)</f>
        <v>6.8682928384216071</v>
      </c>
      <c r="E48" t="s">
        <v>15</v>
      </c>
      <c r="F48" cm="1">
        <f t="array" ref="F48">FlujosGeneralesDM(F36:F45,F18)</f>
        <v>4.5104758452458995</v>
      </c>
    </row>
    <row r="49" spans="2:6" hidden="1" x14ac:dyDescent="0.35">
      <c r="B49" t="s">
        <v>29</v>
      </c>
      <c r="C49" cm="1">
        <f t="array" ref="C49">FlujosGeneralesConv(C36:C45,C20)</f>
        <v>62.627580963982126</v>
      </c>
      <c r="E49" t="s">
        <v>29</v>
      </c>
      <c r="F49" cm="1">
        <f t="array" ref="F49">FlujosGeneralesConv(F36:F45,F18)</f>
        <v>31.387113073466828</v>
      </c>
    </row>
    <row r="50" spans="2:6" hidden="1" x14ac:dyDescent="0.35"/>
    <row r="51" spans="2:6" hidden="1" x14ac:dyDescent="0.35">
      <c r="F51" s="9"/>
    </row>
  </sheetData>
  <mergeCells count="16">
    <mergeCell ref="B23:C23"/>
    <mergeCell ref="E21:F21"/>
    <mergeCell ref="H20:I20"/>
    <mergeCell ref="A1:XFD2"/>
    <mergeCell ref="A4:B4"/>
    <mergeCell ref="D7:E7"/>
    <mergeCell ref="F7:G7"/>
    <mergeCell ref="H7:I7"/>
    <mergeCell ref="F8:G8"/>
    <mergeCell ref="H8:I8"/>
    <mergeCell ref="D8:E8"/>
    <mergeCell ref="A12:XFD13"/>
    <mergeCell ref="D6:I6"/>
    <mergeCell ref="B15:C15"/>
    <mergeCell ref="E15:F15"/>
    <mergeCell ref="H15:I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Hw</vt:lpstr>
      <vt:lpstr>Exs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actda</dc:creator>
  <cp:lastModifiedBy>actda</cp:lastModifiedBy>
  <dcterms:created xsi:type="dcterms:W3CDTF">2020-12-22T02:37:48Z</dcterms:created>
  <dcterms:modified xsi:type="dcterms:W3CDTF">2020-12-24T12:03:42Z</dcterms:modified>
</cp:coreProperties>
</file>