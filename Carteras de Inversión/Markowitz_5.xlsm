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ctda\Downloads\"/>
    </mc:Choice>
  </mc:AlternateContent>
  <xr:revisionPtr revIDLastSave="0" documentId="13_ncr:1_{DC92F096-05DE-4E20-8D09-86D7446ADF91}" xr6:coauthVersionLast="45" xr6:coauthVersionMax="45" xr10:uidLastSave="{00000000-0000-0000-0000-000000000000}"/>
  <bookViews>
    <workbookView xWindow="-110" yWindow="-110" windowWidth="38620" windowHeight="21220" xr2:uid="{00000000-000D-0000-FFFF-FFFF00000000}"/>
  </bookViews>
  <sheets>
    <sheet name="BASE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1" l="1"/>
  <c r="I5" i="1"/>
  <c r="J5" i="1"/>
  <c r="K5" i="1"/>
  <c r="H6" i="1"/>
  <c r="I6" i="1"/>
  <c r="J6" i="1"/>
  <c r="K6" i="1"/>
  <c r="H7" i="1"/>
  <c r="I7" i="1"/>
  <c r="J7" i="1"/>
  <c r="K7" i="1"/>
  <c r="H8" i="1"/>
  <c r="I8" i="1"/>
  <c r="J8" i="1"/>
  <c r="K8" i="1"/>
  <c r="H9" i="1"/>
  <c r="I9" i="1"/>
  <c r="J9" i="1"/>
  <c r="K9" i="1"/>
  <c r="H10" i="1"/>
  <c r="I10" i="1"/>
  <c r="J10" i="1"/>
  <c r="K10" i="1"/>
  <c r="H11" i="1"/>
  <c r="I11" i="1"/>
  <c r="J11" i="1"/>
  <c r="K11" i="1"/>
  <c r="H12" i="1"/>
  <c r="I12" i="1"/>
  <c r="J12" i="1"/>
  <c r="K12" i="1"/>
  <c r="H13" i="1"/>
  <c r="I13" i="1"/>
  <c r="J13" i="1"/>
  <c r="K13" i="1"/>
  <c r="H14" i="1"/>
  <c r="I14" i="1"/>
  <c r="J14" i="1"/>
  <c r="K14" i="1"/>
  <c r="H15" i="1"/>
  <c r="I15" i="1"/>
  <c r="J15" i="1"/>
  <c r="K15" i="1"/>
  <c r="H16" i="1"/>
  <c r="I16" i="1"/>
  <c r="J16" i="1"/>
  <c r="K16" i="1"/>
  <c r="H17" i="1"/>
  <c r="I17" i="1"/>
  <c r="J17" i="1"/>
  <c r="K17" i="1"/>
  <c r="H18" i="1"/>
  <c r="I18" i="1"/>
  <c r="J18" i="1"/>
  <c r="K18" i="1"/>
  <c r="H19" i="1"/>
  <c r="I19" i="1"/>
  <c r="J19" i="1"/>
  <c r="K19" i="1"/>
  <c r="H20" i="1"/>
  <c r="I20" i="1"/>
  <c r="J20" i="1"/>
  <c r="K20" i="1"/>
  <c r="H21" i="1"/>
  <c r="I21" i="1"/>
  <c r="J21" i="1"/>
  <c r="K21" i="1"/>
  <c r="H22" i="1"/>
  <c r="I22" i="1"/>
  <c r="J22" i="1"/>
  <c r="K22" i="1"/>
  <c r="H23" i="1"/>
  <c r="I23" i="1"/>
  <c r="J23" i="1"/>
  <c r="K23" i="1"/>
  <c r="H24" i="1"/>
  <c r="I24" i="1"/>
  <c r="J24" i="1"/>
  <c r="K24" i="1"/>
  <c r="H25" i="1"/>
  <c r="I25" i="1"/>
  <c r="J25" i="1"/>
  <c r="K25" i="1"/>
  <c r="H26" i="1"/>
  <c r="I26" i="1"/>
  <c r="J26" i="1"/>
  <c r="K26" i="1"/>
  <c r="H27" i="1"/>
  <c r="I27" i="1"/>
  <c r="J27" i="1"/>
  <c r="K27" i="1"/>
  <c r="H28" i="1"/>
  <c r="I28" i="1"/>
  <c r="J28" i="1"/>
  <c r="K28" i="1"/>
  <c r="H29" i="1"/>
  <c r="I29" i="1"/>
  <c r="J29" i="1"/>
  <c r="K29" i="1"/>
  <c r="H30" i="1"/>
  <c r="I30" i="1"/>
  <c r="J30" i="1"/>
  <c r="K30" i="1"/>
  <c r="H31" i="1"/>
  <c r="I31" i="1"/>
  <c r="J31" i="1"/>
  <c r="K31" i="1"/>
  <c r="H32" i="1"/>
  <c r="I32" i="1"/>
  <c r="J32" i="1"/>
  <c r="K32" i="1"/>
  <c r="H33" i="1"/>
  <c r="I33" i="1"/>
  <c r="J33" i="1"/>
  <c r="K33" i="1"/>
  <c r="H34" i="1"/>
  <c r="I34" i="1"/>
  <c r="J34" i="1"/>
  <c r="K34" i="1"/>
  <c r="H35" i="1"/>
  <c r="I35" i="1"/>
  <c r="J35" i="1"/>
  <c r="K35" i="1"/>
  <c r="H36" i="1"/>
  <c r="I36" i="1"/>
  <c r="J36" i="1"/>
  <c r="K36" i="1"/>
  <c r="H37" i="1"/>
  <c r="I37" i="1"/>
  <c r="J37" i="1"/>
  <c r="K37" i="1"/>
  <c r="H38" i="1"/>
  <c r="I38" i="1"/>
  <c r="J38" i="1"/>
  <c r="K38" i="1"/>
  <c r="H39" i="1"/>
  <c r="I39" i="1"/>
  <c r="J39" i="1"/>
  <c r="K39" i="1"/>
  <c r="H40" i="1"/>
  <c r="I40" i="1"/>
  <c r="J40" i="1"/>
  <c r="K40" i="1"/>
  <c r="H41" i="1"/>
  <c r="I41" i="1"/>
  <c r="J41" i="1"/>
  <c r="K41" i="1"/>
  <c r="H42" i="1"/>
  <c r="I42" i="1"/>
  <c r="J42" i="1"/>
  <c r="K42" i="1"/>
  <c r="H43" i="1"/>
  <c r="I43" i="1"/>
  <c r="J43" i="1"/>
  <c r="K43" i="1"/>
  <c r="H44" i="1"/>
  <c r="I44" i="1"/>
  <c r="J44" i="1"/>
  <c r="K44" i="1"/>
  <c r="H45" i="1"/>
  <c r="I45" i="1"/>
  <c r="J45" i="1"/>
  <c r="K45" i="1"/>
  <c r="H46" i="1"/>
  <c r="I46" i="1"/>
  <c r="J46" i="1"/>
  <c r="K46" i="1"/>
  <c r="H47" i="1"/>
  <c r="I47" i="1"/>
  <c r="J47" i="1"/>
  <c r="K47" i="1"/>
  <c r="H48" i="1"/>
  <c r="I48" i="1"/>
  <c r="J48" i="1"/>
  <c r="K48" i="1"/>
  <c r="H49" i="1"/>
  <c r="I49" i="1"/>
  <c r="J49" i="1"/>
  <c r="K49" i="1"/>
  <c r="H50" i="1"/>
  <c r="I50" i="1"/>
  <c r="J50" i="1"/>
  <c r="K50" i="1"/>
  <c r="H51" i="1"/>
  <c r="I51" i="1"/>
  <c r="J51" i="1"/>
  <c r="K51" i="1"/>
  <c r="H52" i="1"/>
  <c r="I52" i="1"/>
  <c r="J52" i="1"/>
  <c r="K52" i="1"/>
  <c r="H53" i="1"/>
  <c r="I53" i="1"/>
  <c r="J53" i="1"/>
  <c r="K53" i="1"/>
  <c r="H54" i="1"/>
  <c r="I54" i="1"/>
  <c r="J54" i="1"/>
  <c r="K54" i="1"/>
  <c r="H55" i="1"/>
  <c r="I55" i="1"/>
  <c r="J55" i="1"/>
  <c r="K55" i="1"/>
  <c r="H56" i="1"/>
  <c r="I56" i="1"/>
  <c r="J56" i="1"/>
  <c r="K56" i="1"/>
  <c r="H57" i="1"/>
  <c r="I57" i="1"/>
  <c r="J57" i="1"/>
  <c r="K57" i="1"/>
  <c r="H58" i="1"/>
  <c r="I58" i="1"/>
  <c r="J58" i="1"/>
  <c r="K58" i="1"/>
  <c r="H59" i="1"/>
  <c r="I59" i="1"/>
  <c r="J59" i="1"/>
  <c r="K59" i="1"/>
  <c r="H60" i="1"/>
  <c r="I60" i="1"/>
  <c r="J60" i="1"/>
  <c r="K60" i="1"/>
  <c r="H61" i="1"/>
  <c r="I61" i="1"/>
  <c r="J61" i="1"/>
  <c r="K61" i="1"/>
  <c r="H62" i="1"/>
  <c r="I62" i="1"/>
  <c r="J62" i="1"/>
  <c r="K62" i="1"/>
  <c r="H63" i="1"/>
  <c r="I63" i="1"/>
  <c r="J63" i="1"/>
  <c r="K63" i="1"/>
  <c r="H64" i="1"/>
  <c r="I64" i="1"/>
  <c r="J64" i="1"/>
  <c r="K64" i="1"/>
  <c r="H65" i="1"/>
  <c r="I65" i="1"/>
  <c r="J65" i="1"/>
  <c r="K65" i="1"/>
  <c r="H66" i="1"/>
  <c r="I66" i="1"/>
  <c r="J66" i="1"/>
  <c r="K66" i="1"/>
  <c r="H67" i="1"/>
  <c r="I67" i="1"/>
  <c r="J67" i="1"/>
  <c r="K67" i="1"/>
  <c r="H68" i="1"/>
  <c r="I68" i="1"/>
  <c r="J68" i="1"/>
  <c r="K68" i="1"/>
  <c r="H69" i="1"/>
  <c r="I69" i="1"/>
  <c r="J69" i="1"/>
  <c r="K69" i="1"/>
  <c r="H70" i="1"/>
  <c r="I70" i="1"/>
  <c r="J70" i="1"/>
  <c r="K70" i="1"/>
  <c r="H71" i="1"/>
  <c r="I71" i="1"/>
  <c r="J71" i="1"/>
  <c r="K71" i="1"/>
  <c r="H72" i="1"/>
  <c r="I72" i="1"/>
  <c r="J72" i="1"/>
  <c r="K72" i="1"/>
  <c r="H73" i="1"/>
  <c r="I73" i="1"/>
  <c r="J73" i="1"/>
  <c r="K73" i="1"/>
  <c r="H74" i="1"/>
  <c r="I74" i="1"/>
  <c r="J74" i="1"/>
  <c r="K74" i="1"/>
  <c r="H75" i="1"/>
  <c r="I75" i="1"/>
  <c r="J75" i="1"/>
  <c r="K75" i="1"/>
  <c r="H76" i="1"/>
  <c r="I76" i="1"/>
  <c r="J76" i="1"/>
  <c r="K76" i="1"/>
  <c r="H77" i="1"/>
  <c r="I77" i="1"/>
  <c r="J77" i="1"/>
  <c r="K77" i="1"/>
  <c r="H78" i="1"/>
  <c r="I78" i="1"/>
  <c r="J78" i="1"/>
  <c r="K78" i="1"/>
  <c r="H79" i="1"/>
  <c r="I79" i="1"/>
  <c r="J79" i="1"/>
  <c r="K79" i="1"/>
  <c r="H80" i="1"/>
  <c r="I80" i="1"/>
  <c r="J80" i="1"/>
  <c r="K80" i="1"/>
  <c r="H81" i="1"/>
  <c r="I81" i="1"/>
  <c r="J81" i="1"/>
  <c r="K81" i="1"/>
  <c r="H82" i="1"/>
  <c r="I82" i="1"/>
  <c r="J82" i="1"/>
  <c r="K82" i="1"/>
  <c r="H83" i="1"/>
  <c r="I83" i="1"/>
  <c r="J83" i="1"/>
  <c r="K83" i="1"/>
  <c r="H84" i="1"/>
  <c r="I84" i="1"/>
  <c r="J84" i="1"/>
  <c r="K84" i="1"/>
  <c r="H85" i="1"/>
  <c r="I85" i="1"/>
  <c r="J85" i="1"/>
  <c r="K85" i="1"/>
  <c r="H86" i="1"/>
  <c r="I86" i="1"/>
  <c r="J86" i="1"/>
  <c r="K86" i="1"/>
  <c r="H87" i="1"/>
  <c r="I87" i="1"/>
  <c r="J87" i="1"/>
  <c r="K87" i="1"/>
  <c r="H88" i="1"/>
  <c r="I88" i="1"/>
  <c r="J88" i="1"/>
  <c r="K88" i="1"/>
  <c r="H89" i="1"/>
  <c r="I89" i="1"/>
  <c r="J89" i="1"/>
  <c r="K89" i="1"/>
  <c r="H90" i="1"/>
  <c r="I90" i="1"/>
  <c r="J90" i="1"/>
  <c r="K90" i="1"/>
  <c r="H91" i="1"/>
  <c r="I91" i="1"/>
  <c r="J91" i="1"/>
  <c r="K91" i="1"/>
  <c r="H92" i="1"/>
  <c r="I92" i="1"/>
  <c r="J92" i="1"/>
  <c r="K92" i="1"/>
  <c r="H93" i="1"/>
  <c r="I93" i="1"/>
  <c r="J93" i="1"/>
  <c r="K93" i="1"/>
  <c r="H94" i="1"/>
  <c r="I94" i="1"/>
  <c r="J94" i="1"/>
  <c r="K94" i="1"/>
  <c r="H95" i="1"/>
  <c r="I95" i="1"/>
  <c r="J95" i="1"/>
  <c r="K95" i="1"/>
  <c r="H96" i="1"/>
  <c r="I96" i="1"/>
  <c r="J96" i="1"/>
  <c r="K96" i="1"/>
  <c r="H97" i="1"/>
  <c r="I97" i="1"/>
  <c r="J97" i="1"/>
  <c r="K97" i="1"/>
  <c r="H98" i="1"/>
  <c r="I98" i="1"/>
  <c r="J98" i="1"/>
  <c r="K98" i="1"/>
  <c r="H99" i="1"/>
  <c r="I99" i="1"/>
  <c r="J99" i="1"/>
  <c r="K99" i="1"/>
  <c r="H100" i="1"/>
  <c r="I100" i="1"/>
  <c r="J100" i="1"/>
  <c r="K100" i="1"/>
  <c r="H101" i="1"/>
  <c r="I101" i="1"/>
  <c r="J101" i="1"/>
  <c r="K101" i="1"/>
  <c r="H102" i="1"/>
  <c r="I102" i="1"/>
  <c r="J102" i="1"/>
  <c r="K102" i="1"/>
  <c r="H103" i="1"/>
  <c r="I103" i="1"/>
  <c r="J103" i="1"/>
  <c r="K103" i="1"/>
  <c r="H104" i="1"/>
  <c r="I104" i="1"/>
  <c r="J104" i="1"/>
  <c r="K104" i="1"/>
  <c r="H105" i="1"/>
  <c r="I105" i="1"/>
  <c r="J105" i="1"/>
  <c r="K105" i="1"/>
  <c r="H106" i="1"/>
  <c r="I106" i="1"/>
  <c r="J106" i="1"/>
  <c r="K106" i="1"/>
  <c r="H107" i="1"/>
  <c r="I107" i="1"/>
  <c r="J107" i="1"/>
  <c r="K107" i="1"/>
  <c r="H108" i="1"/>
  <c r="I108" i="1"/>
  <c r="J108" i="1"/>
  <c r="K108" i="1"/>
  <c r="H109" i="1"/>
  <c r="I109" i="1"/>
  <c r="J109" i="1"/>
  <c r="K109" i="1"/>
  <c r="H110" i="1"/>
  <c r="I110" i="1"/>
  <c r="J110" i="1"/>
  <c r="K110" i="1"/>
  <c r="H111" i="1"/>
  <c r="I111" i="1"/>
  <c r="J111" i="1"/>
  <c r="K111" i="1"/>
  <c r="H112" i="1"/>
  <c r="I112" i="1"/>
  <c r="J112" i="1"/>
  <c r="K112" i="1"/>
  <c r="H113" i="1"/>
  <c r="I113" i="1"/>
  <c r="J113" i="1"/>
  <c r="K113" i="1"/>
  <c r="H114" i="1"/>
  <c r="I114" i="1"/>
  <c r="J114" i="1"/>
  <c r="K114" i="1"/>
  <c r="H115" i="1"/>
  <c r="I115" i="1"/>
  <c r="J115" i="1"/>
  <c r="K115" i="1"/>
  <c r="H116" i="1"/>
  <c r="I116" i="1"/>
  <c r="J116" i="1"/>
  <c r="K116" i="1"/>
  <c r="H117" i="1"/>
  <c r="I117" i="1"/>
  <c r="J117" i="1"/>
  <c r="K117" i="1"/>
  <c r="H118" i="1"/>
  <c r="I118" i="1"/>
  <c r="J118" i="1"/>
  <c r="K118" i="1"/>
  <c r="H119" i="1"/>
  <c r="I119" i="1"/>
  <c r="J119" i="1"/>
  <c r="K119" i="1"/>
  <c r="H120" i="1"/>
  <c r="I120" i="1"/>
  <c r="J120" i="1"/>
  <c r="K120" i="1"/>
  <c r="H121" i="1"/>
  <c r="I121" i="1"/>
  <c r="J121" i="1"/>
  <c r="K121" i="1"/>
  <c r="H122" i="1"/>
  <c r="I122" i="1"/>
  <c r="J122" i="1"/>
  <c r="K122" i="1"/>
  <c r="H123" i="1"/>
  <c r="I123" i="1"/>
  <c r="J123" i="1"/>
  <c r="K123" i="1"/>
  <c r="H124" i="1"/>
  <c r="I124" i="1"/>
  <c r="J124" i="1"/>
  <c r="K124" i="1"/>
  <c r="H125" i="1"/>
  <c r="I125" i="1"/>
  <c r="J125" i="1"/>
  <c r="K125" i="1"/>
  <c r="H126" i="1"/>
  <c r="I126" i="1"/>
  <c r="J126" i="1"/>
  <c r="K126" i="1"/>
  <c r="H127" i="1"/>
  <c r="I127" i="1"/>
  <c r="J127" i="1"/>
  <c r="K127" i="1"/>
  <c r="H128" i="1"/>
  <c r="I128" i="1"/>
  <c r="J128" i="1"/>
  <c r="K128" i="1"/>
  <c r="H129" i="1"/>
  <c r="I129" i="1"/>
  <c r="J129" i="1"/>
  <c r="K129" i="1"/>
  <c r="H130" i="1"/>
  <c r="I130" i="1"/>
  <c r="J130" i="1"/>
  <c r="K130" i="1"/>
  <c r="H131" i="1"/>
  <c r="I131" i="1"/>
  <c r="J131" i="1"/>
  <c r="K131" i="1"/>
  <c r="H132" i="1"/>
  <c r="I132" i="1"/>
  <c r="J132" i="1"/>
  <c r="K132" i="1"/>
  <c r="H133" i="1"/>
  <c r="I133" i="1"/>
  <c r="J133" i="1"/>
  <c r="K133" i="1"/>
  <c r="H134" i="1"/>
  <c r="I134" i="1"/>
  <c r="J134" i="1"/>
  <c r="K134" i="1"/>
  <c r="H135" i="1"/>
  <c r="I135" i="1"/>
  <c r="J135" i="1"/>
  <c r="K135" i="1"/>
  <c r="H136" i="1"/>
  <c r="I136" i="1"/>
  <c r="J136" i="1"/>
  <c r="K136" i="1"/>
  <c r="H137" i="1"/>
  <c r="I137" i="1"/>
  <c r="J137" i="1"/>
  <c r="K137" i="1"/>
  <c r="H138" i="1"/>
  <c r="I138" i="1"/>
  <c r="J138" i="1"/>
  <c r="K138" i="1"/>
  <c r="H139" i="1"/>
  <c r="I139" i="1"/>
  <c r="J139" i="1"/>
  <c r="K139" i="1"/>
  <c r="H140" i="1"/>
  <c r="I140" i="1"/>
  <c r="J140" i="1"/>
  <c r="K140" i="1"/>
  <c r="H141" i="1"/>
  <c r="I141" i="1"/>
  <c r="J141" i="1"/>
  <c r="K141" i="1"/>
  <c r="H142" i="1"/>
  <c r="I142" i="1"/>
  <c r="J142" i="1"/>
  <c r="K142" i="1"/>
  <c r="H143" i="1"/>
  <c r="I143" i="1"/>
  <c r="J143" i="1"/>
  <c r="K143" i="1"/>
  <c r="H144" i="1"/>
  <c r="I144" i="1"/>
  <c r="J144" i="1"/>
  <c r="K144" i="1"/>
  <c r="H145" i="1"/>
  <c r="I145" i="1"/>
  <c r="J145" i="1"/>
  <c r="K145" i="1"/>
  <c r="H146" i="1"/>
  <c r="I146" i="1"/>
  <c r="J146" i="1"/>
  <c r="K146" i="1"/>
  <c r="H147" i="1"/>
  <c r="I147" i="1"/>
  <c r="J147" i="1"/>
  <c r="K147" i="1"/>
  <c r="H148" i="1"/>
  <c r="I148" i="1"/>
  <c r="J148" i="1"/>
  <c r="K148" i="1"/>
  <c r="H149" i="1"/>
  <c r="I149" i="1"/>
  <c r="J149" i="1"/>
  <c r="K149" i="1"/>
  <c r="H150" i="1"/>
  <c r="I150" i="1"/>
  <c r="J150" i="1"/>
  <c r="K150" i="1"/>
  <c r="H151" i="1"/>
  <c r="I151" i="1"/>
  <c r="J151" i="1"/>
  <c r="K151" i="1"/>
  <c r="H152" i="1"/>
  <c r="I152" i="1"/>
  <c r="J152" i="1"/>
  <c r="K152" i="1"/>
  <c r="H153" i="1"/>
  <c r="I153" i="1"/>
  <c r="J153" i="1"/>
  <c r="K153" i="1"/>
  <c r="H154" i="1"/>
  <c r="I154" i="1"/>
  <c r="J154" i="1"/>
  <c r="K154" i="1"/>
  <c r="H155" i="1"/>
  <c r="I155" i="1"/>
  <c r="J155" i="1"/>
  <c r="K155" i="1"/>
  <c r="H156" i="1"/>
  <c r="I156" i="1"/>
  <c r="J156" i="1"/>
  <c r="K156" i="1"/>
  <c r="H157" i="1"/>
  <c r="I157" i="1"/>
  <c r="J157" i="1"/>
  <c r="K157" i="1"/>
  <c r="H158" i="1"/>
  <c r="I158" i="1"/>
  <c r="J158" i="1"/>
  <c r="K158" i="1"/>
  <c r="H159" i="1"/>
  <c r="I159" i="1"/>
  <c r="J159" i="1"/>
  <c r="K159" i="1"/>
  <c r="H160" i="1"/>
  <c r="I160" i="1"/>
  <c r="J160" i="1"/>
  <c r="K160" i="1"/>
  <c r="H161" i="1"/>
  <c r="I161" i="1"/>
  <c r="J161" i="1"/>
  <c r="K161" i="1"/>
  <c r="H162" i="1"/>
  <c r="I162" i="1"/>
  <c r="J162" i="1"/>
  <c r="K162" i="1"/>
  <c r="H163" i="1"/>
  <c r="I163" i="1"/>
  <c r="J163" i="1"/>
  <c r="K163" i="1"/>
  <c r="H164" i="1"/>
  <c r="I164" i="1"/>
  <c r="J164" i="1"/>
  <c r="K164" i="1"/>
  <c r="H165" i="1"/>
  <c r="I165" i="1"/>
  <c r="J165" i="1"/>
  <c r="K165" i="1"/>
  <c r="H166" i="1"/>
  <c r="I166" i="1"/>
  <c r="J166" i="1"/>
  <c r="K166" i="1"/>
  <c r="H167" i="1"/>
  <c r="I167" i="1"/>
  <c r="J167" i="1"/>
  <c r="K167" i="1"/>
  <c r="H168" i="1"/>
  <c r="I168" i="1"/>
  <c r="J168" i="1"/>
  <c r="K168" i="1"/>
  <c r="H169" i="1"/>
  <c r="I169" i="1"/>
  <c r="J169" i="1"/>
  <c r="K169" i="1"/>
  <c r="H170" i="1"/>
  <c r="I170" i="1"/>
  <c r="J170" i="1"/>
  <c r="K170" i="1"/>
  <c r="H171" i="1"/>
  <c r="I171" i="1"/>
  <c r="J171" i="1"/>
  <c r="K171" i="1"/>
  <c r="H172" i="1"/>
  <c r="I172" i="1"/>
  <c r="J172" i="1"/>
  <c r="K172" i="1"/>
  <c r="H173" i="1"/>
  <c r="I173" i="1"/>
  <c r="J173" i="1"/>
  <c r="K173" i="1"/>
  <c r="H174" i="1"/>
  <c r="I174" i="1"/>
  <c r="J174" i="1"/>
  <c r="K174" i="1"/>
  <c r="H175" i="1"/>
  <c r="I175" i="1"/>
  <c r="J175" i="1"/>
  <c r="K175" i="1"/>
  <c r="H176" i="1"/>
  <c r="I176" i="1"/>
  <c r="J176" i="1"/>
  <c r="K176" i="1"/>
  <c r="H177" i="1"/>
  <c r="I177" i="1"/>
  <c r="J177" i="1"/>
  <c r="K177" i="1"/>
  <c r="H178" i="1"/>
  <c r="I178" i="1"/>
  <c r="J178" i="1"/>
  <c r="K178" i="1"/>
  <c r="H179" i="1"/>
  <c r="I179" i="1"/>
  <c r="J179" i="1"/>
  <c r="K179" i="1"/>
  <c r="H180" i="1"/>
  <c r="I180" i="1"/>
  <c r="J180" i="1"/>
  <c r="K180" i="1"/>
  <c r="H181" i="1"/>
  <c r="I181" i="1"/>
  <c r="J181" i="1"/>
  <c r="K181" i="1"/>
  <c r="H182" i="1"/>
  <c r="I182" i="1"/>
  <c r="J182" i="1"/>
  <c r="K182" i="1"/>
  <c r="H183" i="1"/>
  <c r="I183" i="1"/>
  <c r="J183" i="1"/>
  <c r="K183" i="1"/>
  <c r="H184" i="1"/>
  <c r="I184" i="1"/>
  <c r="J184" i="1"/>
  <c r="K184" i="1"/>
  <c r="H185" i="1"/>
  <c r="I185" i="1"/>
  <c r="J185" i="1"/>
  <c r="K185" i="1"/>
  <c r="H186" i="1"/>
  <c r="I186" i="1"/>
  <c r="J186" i="1"/>
  <c r="K186" i="1"/>
  <c r="H187" i="1"/>
  <c r="I187" i="1"/>
  <c r="J187" i="1"/>
  <c r="K187" i="1"/>
  <c r="H188" i="1"/>
  <c r="I188" i="1"/>
  <c r="J188" i="1"/>
  <c r="K188" i="1"/>
  <c r="H189" i="1"/>
  <c r="I189" i="1"/>
  <c r="J189" i="1"/>
  <c r="K189" i="1"/>
  <c r="H190" i="1"/>
  <c r="I190" i="1"/>
  <c r="J190" i="1"/>
  <c r="K190" i="1"/>
  <c r="H191" i="1"/>
  <c r="I191" i="1"/>
  <c r="J191" i="1"/>
  <c r="K191" i="1"/>
  <c r="H192" i="1"/>
  <c r="I192" i="1"/>
  <c r="J192" i="1"/>
  <c r="K192" i="1"/>
  <c r="H193" i="1"/>
  <c r="I193" i="1"/>
  <c r="J193" i="1"/>
  <c r="K193" i="1"/>
  <c r="H194" i="1"/>
  <c r="I194" i="1"/>
  <c r="J194" i="1"/>
  <c r="K194" i="1"/>
  <c r="H195" i="1"/>
  <c r="I195" i="1"/>
  <c r="J195" i="1"/>
  <c r="K195" i="1"/>
  <c r="H196" i="1"/>
  <c r="I196" i="1"/>
  <c r="J196" i="1"/>
  <c r="K196" i="1"/>
  <c r="H197" i="1"/>
  <c r="I197" i="1"/>
  <c r="J197" i="1"/>
  <c r="K197" i="1"/>
  <c r="H198" i="1"/>
  <c r="I198" i="1"/>
  <c r="J198" i="1"/>
  <c r="K198" i="1"/>
  <c r="H199" i="1"/>
  <c r="I199" i="1"/>
  <c r="J199" i="1"/>
  <c r="K199" i="1"/>
  <c r="H200" i="1"/>
  <c r="I200" i="1"/>
  <c r="J200" i="1"/>
  <c r="K200" i="1"/>
  <c r="H201" i="1"/>
  <c r="I201" i="1"/>
  <c r="J201" i="1"/>
  <c r="K201" i="1"/>
  <c r="H202" i="1"/>
  <c r="I202" i="1"/>
  <c r="J202" i="1"/>
  <c r="K202" i="1"/>
  <c r="H203" i="1"/>
  <c r="I203" i="1"/>
  <c r="J203" i="1"/>
  <c r="K203" i="1"/>
  <c r="H204" i="1"/>
  <c r="I204" i="1"/>
  <c r="J204" i="1"/>
  <c r="K204" i="1"/>
  <c r="H205" i="1"/>
  <c r="I205" i="1"/>
  <c r="J205" i="1"/>
  <c r="K205" i="1"/>
  <c r="H206" i="1"/>
  <c r="I206" i="1"/>
  <c r="J206" i="1"/>
  <c r="K206" i="1"/>
  <c r="H207" i="1"/>
  <c r="I207" i="1"/>
  <c r="J207" i="1"/>
  <c r="K207" i="1"/>
  <c r="H208" i="1"/>
  <c r="I208" i="1"/>
  <c r="J208" i="1"/>
  <c r="K208" i="1"/>
  <c r="H209" i="1"/>
  <c r="I209" i="1"/>
  <c r="J209" i="1"/>
  <c r="K209" i="1"/>
  <c r="H210" i="1"/>
  <c r="I210" i="1"/>
  <c r="J210" i="1"/>
  <c r="K210" i="1"/>
  <c r="H211" i="1"/>
  <c r="I211" i="1"/>
  <c r="J211" i="1"/>
  <c r="K211" i="1"/>
  <c r="H212" i="1"/>
  <c r="I212" i="1"/>
  <c r="J212" i="1"/>
  <c r="K212" i="1"/>
  <c r="H213" i="1"/>
  <c r="I213" i="1"/>
  <c r="J213" i="1"/>
  <c r="K213" i="1"/>
  <c r="H214" i="1"/>
  <c r="I214" i="1"/>
  <c r="J214" i="1"/>
  <c r="K214" i="1"/>
  <c r="H215" i="1"/>
  <c r="I215" i="1"/>
  <c r="J215" i="1"/>
  <c r="K215" i="1"/>
  <c r="H216" i="1"/>
  <c r="I216" i="1"/>
  <c r="J216" i="1"/>
  <c r="K216" i="1"/>
  <c r="H217" i="1"/>
  <c r="I217" i="1"/>
  <c r="J217" i="1"/>
  <c r="K217" i="1"/>
  <c r="H218" i="1"/>
  <c r="I218" i="1"/>
  <c r="J218" i="1"/>
  <c r="K218" i="1"/>
  <c r="H219" i="1"/>
  <c r="I219" i="1"/>
  <c r="J219" i="1"/>
  <c r="K219" i="1"/>
  <c r="H220" i="1"/>
  <c r="I220" i="1"/>
  <c r="J220" i="1"/>
  <c r="K220" i="1"/>
  <c r="H221" i="1"/>
  <c r="I221" i="1"/>
  <c r="J221" i="1"/>
  <c r="K221" i="1"/>
  <c r="H222" i="1"/>
  <c r="I222" i="1"/>
  <c r="J222" i="1"/>
  <c r="K222" i="1"/>
  <c r="H223" i="1"/>
  <c r="I223" i="1"/>
  <c r="J223" i="1"/>
  <c r="K223" i="1"/>
  <c r="H224" i="1"/>
  <c r="I224" i="1"/>
  <c r="J224" i="1"/>
  <c r="K224" i="1"/>
  <c r="H225" i="1"/>
  <c r="I225" i="1"/>
  <c r="J225" i="1"/>
  <c r="K225" i="1"/>
  <c r="H226" i="1"/>
  <c r="I226" i="1"/>
  <c r="J226" i="1"/>
  <c r="K226" i="1"/>
  <c r="H227" i="1"/>
  <c r="I227" i="1"/>
  <c r="J227" i="1"/>
  <c r="K227" i="1"/>
  <c r="H228" i="1"/>
  <c r="I228" i="1"/>
  <c r="J228" i="1"/>
  <c r="K228" i="1"/>
  <c r="H229" i="1"/>
  <c r="I229" i="1"/>
  <c r="J229" i="1"/>
  <c r="K229" i="1"/>
  <c r="H230" i="1"/>
  <c r="I230" i="1"/>
  <c r="J230" i="1"/>
  <c r="K230" i="1"/>
  <c r="H231" i="1"/>
  <c r="I231" i="1"/>
  <c r="J231" i="1"/>
  <c r="K231" i="1"/>
  <c r="H232" i="1"/>
  <c r="I232" i="1"/>
  <c r="J232" i="1"/>
  <c r="K232" i="1"/>
  <c r="H233" i="1"/>
  <c r="I233" i="1"/>
  <c r="J233" i="1"/>
  <c r="K233" i="1"/>
  <c r="H234" i="1"/>
  <c r="I234" i="1"/>
  <c r="J234" i="1"/>
  <c r="K234" i="1"/>
  <c r="H235" i="1"/>
  <c r="I235" i="1"/>
  <c r="J235" i="1"/>
  <c r="K235" i="1"/>
  <c r="H236" i="1"/>
  <c r="I236" i="1"/>
  <c r="J236" i="1"/>
  <c r="K236" i="1"/>
  <c r="H237" i="1"/>
  <c r="I237" i="1"/>
  <c r="J237" i="1"/>
  <c r="K237" i="1"/>
  <c r="H238" i="1"/>
  <c r="I238" i="1"/>
  <c r="J238" i="1"/>
  <c r="K238" i="1"/>
  <c r="H239" i="1"/>
  <c r="I239" i="1"/>
  <c r="J239" i="1"/>
  <c r="K239" i="1"/>
  <c r="H240" i="1"/>
  <c r="I240" i="1"/>
  <c r="J240" i="1"/>
  <c r="K240" i="1"/>
  <c r="H241" i="1"/>
  <c r="I241" i="1"/>
  <c r="J241" i="1"/>
  <c r="K241" i="1"/>
  <c r="H242" i="1"/>
  <c r="I242" i="1"/>
  <c r="J242" i="1"/>
  <c r="K242" i="1"/>
  <c r="H243" i="1"/>
  <c r="I243" i="1"/>
  <c r="J243" i="1"/>
  <c r="K243" i="1"/>
  <c r="H244" i="1"/>
  <c r="I244" i="1"/>
  <c r="J244" i="1"/>
  <c r="K244" i="1"/>
  <c r="H245" i="1"/>
  <c r="I245" i="1"/>
  <c r="J245" i="1"/>
  <c r="K245" i="1"/>
  <c r="H246" i="1"/>
  <c r="I246" i="1"/>
  <c r="J246" i="1"/>
  <c r="K246" i="1"/>
  <c r="H247" i="1"/>
  <c r="I247" i="1"/>
  <c r="J247" i="1"/>
  <c r="K247" i="1"/>
  <c r="H248" i="1"/>
  <c r="I248" i="1"/>
  <c r="J248" i="1"/>
  <c r="K248" i="1"/>
  <c r="H249" i="1"/>
  <c r="I249" i="1"/>
  <c r="J249" i="1"/>
  <c r="K249" i="1"/>
  <c r="H250" i="1"/>
  <c r="I250" i="1"/>
  <c r="J250" i="1"/>
  <c r="K250" i="1"/>
  <c r="H251" i="1"/>
  <c r="I251" i="1"/>
  <c r="J251" i="1"/>
  <c r="K251" i="1"/>
  <c r="H252" i="1"/>
  <c r="I252" i="1"/>
  <c r="J252" i="1"/>
  <c r="K252" i="1"/>
  <c r="H253" i="1"/>
  <c r="I253" i="1"/>
  <c r="J253" i="1"/>
  <c r="K253" i="1"/>
  <c r="H254" i="1"/>
  <c r="I254" i="1"/>
  <c r="J254" i="1"/>
  <c r="K254" i="1"/>
  <c r="H255" i="1"/>
  <c r="I255" i="1"/>
  <c r="J255" i="1"/>
  <c r="K255" i="1"/>
  <c r="H256" i="1"/>
  <c r="I256" i="1"/>
  <c r="J256" i="1"/>
  <c r="K256" i="1"/>
  <c r="H257" i="1"/>
  <c r="I257" i="1"/>
  <c r="J257" i="1"/>
  <c r="K257" i="1"/>
  <c r="H258" i="1"/>
  <c r="I258" i="1"/>
  <c r="J258" i="1"/>
  <c r="K258" i="1"/>
  <c r="H259" i="1"/>
  <c r="I259" i="1"/>
  <c r="J259" i="1"/>
  <c r="K259" i="1"/>
  <c r="H260" i="1"/>
  <c r="I260" i="1"/>
  <c r="J260" i="1"/>
  <c r="K260" i="1"/>
  <c r="H261" i="1"/>
  <c r="I261" i="1"/>
  <c r="J261" i="1"/>
  <c r="K261" i="1"/>
  <c r="H262" i="1"/>
  <c r="I262" i="1"/>
  <c r="J262" i="1"/>
  <c r="K262" i="1"/>
  <c r="H263" i="1"/>
  <c r="I263" i="1"/>
  <c r="J263" i="1"/>
  <c r="K263" i="1"/>
  <c r="H264" i="1"/>
  <c r="I264" i="1"/>
  <c r="J264" i="1"/>
  <c r="K264" i="1"/>
  <c r="H265" i="1"/>
  <c r="I265" i="1"/>
  <c r="J265" i="1"/>
  <c r="K265" i="1"/>
  <c r="H266" i="1"/>
  <c r="I266" i="1"/>
  <c r="J266" i="1"/>
  <c r="K266" i="1"/>
  <c r="H267" i="1"/>
  <c r="I267" i="1"/>
  <c r="J267" i="1"/>
  <c r="K267" i="1"/>
  <c r="H268" i="1"/>
  <c r="I268" i="1"/>
  <c r="J268" i="1"/>
  <c r="K268" i="1"/>
  <c r="H269" i="1"/>
  <c r="I269" i="1"/>
  <c r="J269" i="1"/>
  <c r="K269" i="1"/>
  <c r="H270" i="1"/>
  <c r="I270" i="1"/>
  <c r="J270" i="1"/>
  <c r="K270" i="1"/>
  <c r="H271" i="1"/>
  <c r="I271" i="1"/>
  <c r="J271" i="1"/>
  <c r="K271" i="1"/>
  <c r="H272" i="1"/>
  <c r="I272" i="1"/>
  <c r="J272" i="1"/>
  <c r="K272" i="1"/>
  <c r="H273" i="1"/>
  <c r="I273" i="1"/>
  <c r="J273" i="1"/>
  <c r="K273" i="1"/>
  <c r="H274" i="1"/>
  <c r="I274" i="1"/>
  <c r="J274" i="1"/>
  <c r="K274" i="1"/>
  <c r="H275" i="1"/>
  <c r="I275" i="1"/>
  <c r="J275" i="1"/>
  <c r="K275" i="1"/>
  <c r="H276" i="1"/>
  <c r="I276" i="1"/>
  <c r="J276" i="1"/>
  <c r="K276" i="1"/>
  <c r="H277" i="1"/>
  <c r="I277" i="1"/>
  <c r="J277" i="1"/>
  <c r="K277" i="1"/>
  <c r="H278" i="1"/>
  <c r="I278" i="1"/>
  <c r="J278" i="1"/>
  <c r="K278" i="1"/>
  <c r="H279" i="1"/>
  <c r="I279" i="1"/>
  <c r="J279" i="1"/>
  <c r="K279" i="1"/>
  <c r="H280" i="1"/>
  <c r="I280" i="1"/>
  <c r="J280" i="1"/>
  <c r="K280" i="1"/>
  <c r="H281" i="1"/>
  <c r="I281" i="1"/>
  <c r="J281" i="1"/>
  <c r="K281" i="1"/>
  <c r="H282" i="1"/>
  <c r="I282" i="1"/>
  <c r="J282" i="1"/>
  <c r="K282" i="1"/>
  <c r="H283" i="1"/>
  <c r="I283" i="1"/>
  <c r="J283" i="1"/>
  <c r="K283" i="1"/>
  <c r="H284" i="1"/>
  <c r="I284" i="1"/>
  <c r="J284" i="1"/>
  <c r="K284" i="1"/>
  <c r="H285" i="1"/>
  <c r="I285" i="1"/>
  <c r="J285" i="1"/>
  <c r="K285" i="1"/>
  <c r="H286" i="1"/>
  <c r="I286" i="1"/>
  <c r="J286" i="1"/>
  <c r="K286" i="1"/>
  <c r="H287" i="1"/>
  <c r="I287" i="1"/>
  <c r="J287" i="1"/>
  <c r="K287" i="1"/>
  <c r="H288" i="1"/>
  <c r="I288" i="1"/>
  <c r="J288" i="1"/>
  <c r="K288" i="1"/>
  <c r="H289" i="1"/>
  <c r="I289" i="1"/>
  <c r="J289" i="1"/>
  <c r="K289" i="1"/>
  <c r="H290" i="1"/>
  <c r="I290" i="1"/>
  <c r="J290" i="1"/>
  <c r="K290" i="1"/>
  <c r="H291" i="1"/>
  <c r="I291" i="1"/>
  <c r="J291" i="1"/>
  <c r="K291" i="1"/>
  <c r="H292" i="1"/>
  <c r="I292" i="1"/>
  <c r="J292" i="1"/>
  <c r="K292" i="1"/>
  <c r="H293" i="1"/>
  <c r="I293" i="1"/>
  <c r="J293" i="1"/>
  <c r="K293" i="1"/>
  <c r="H294" i="1"/>
  <c r="I294" i="1"/>
  <c r="J294" i="1"/>
  <c r="K294" i="1"/>
  <c r="H295" i="1"/>
  <c r="I295" i="1"/>
  <c r="J295" i="1"/>
  <c r="K295" i="1"/>
  <c r="H296" i="1"/>
  <c r="I296" i="1"/>
  <c r="J296" i="1"/>
  <c r="K296" i="1"/>
  <c r="H297" i="1"/>
  <c r="I297" i="1"/>
  <c r="J297" i="1"/>
  <c r="K297" i="1"/>
  <c r="H298" i="1"/>
  <c r="I298" i="1"/>
  <c r="J298" i="1"/>
  <c r="K298" i="1"/>
  <c r="H299" i="1"/>
  <c r="I299" i="1"/>
  <c r="J299" i="1"/>
  <c r="K299" i="1"/>
  <c r="H300" i="1"/>
  <c r="I300" i="1"/>
  <c r="J300" i="1"/>
  <c r="K300" i="1"/>
  <c r="H301" i="1"/>
  <c r="I301" i="1"/>
  <c r="J301" i="1"/>
  <c r="K301" i="1"/>
  <c r="H302" i="1"/>
  <c r="I302" i="1"/>
  <c r="J302" i="1"/>
  <c r="K302" i="1"/>
  <c r="H303" i="1"/>
  <c r="I303" i="1"/>
  <c r="J303" i="1"/>
  <c r="K303" i="1"/>
  <c r="H304" i="1"/>
  <c r="I304" i="1"/>
  <c r="J304" i="1"/>
  <c r="K304" i="1"/>
  <c r="H305" i="1"/>
  <c r="I305" i="1"/>
  <c r="J305" i="1"/>
  <c r="K305" i="1"/>
  <c r="H306" i="1"/>
  <c r="I306" i="1"/>
  <c r="J306" i="1"/>
  <c r="K306" i="1"/>
  <c r="H307" i="1"/>
  <c r="I307" i="1"/>
  <c r="J307" i="1"/>
  <c r="K307" i="1"/>
  <c r="H308" i="1"/>
  <c r="I308" i="1"/>
  <c r="J308" i="1"/>
  <c r="K308" i="1"/>
  <c r="H309" i="1"/>
  <c r="I309" i="1"/>
  <c r="J309" i="1"/>
  <c r="K309" i="1"/>
  <c r="H310" i="1"/>
  <c r="I310" i="1"/>
  <c r="J310" i="1"/>
  <c r="K310" i="1"/>
  <c r="H311" i="1"/>
  <c r="I311" i="1"/>
  <c r="J311" i="1"/>
  <c r="K311" i="1"/>
  <c r="H312" i="1"/>
  <c r="I312" i="1"/>
  <c r="J312" i="1"/>
  <c r="K312" i="1"/>
  <c r="H313" i="1"/>
  <c r="I313" i="1"/>
  <c r="J313" i="1"/>
  <c r="K313" i="1"/>
  <c r="H314" i="1"/>
  <c r="I314" i="1"/>
  <c r="J314" i="1"/>
  <c r="K314" i="1"/>
  <c r="H315" i="1"/>
  <c r="I315" i="1"/>
  <c r="J315" i="1"/>
  <c r="K315" i="1"/>
  <c r="H316" i="1"/>
  <c r="I316" i="1"/>
  <c r="J316" i="1"/>
  <c r="K316" i="1"/>
  <c r="H317" i="1"/>
  <c r="I317" i="1"/>
  <c r="J317" i="1"/>
  <c r="K317" i="1"/>
  <c r="H318" i="1"/>
  <c r="I318" i="1"/>
  <c r="J318" i="1"/>
  <c r="K318" i="1"/>
  <c r="H319" i="1"/>
  <c r="I319" i="1"/>
  <c r="J319" i="1"/>
  <c r="K319" i="1"/>
  <c r="H320" i="1"/>
  <c r="I320" i="1"/>
  <c r="J320" i="1"/>
  <c r="K320" i="1"/>
  <c r="H321" i="1"/>
  <c r="I321" i="1"/>
  <c r="J321" i="1"/>
  <c r="K321" i="1"/>
  <c r="H322" i="1"/>
  <c r="I322" i="1"/>
  <c r="J322" i="1"/>
  <c r="K322" i="1"/>
  <c r="H323" i="1"/>
  <c r="I323" i="1"/>
  <c r="J323" i="1"/>
  <c r="K323" i="1"/>
  <c r="H324" i="1"/>
  <c r="I324" i="1"/>
  <c r="J324" i="1"/>
  <c r="K324" i="1"/>
  <c r="H325" i="1"/>
  <c r="I325" i="1"/>
  <c r="J325" i="1"/>
  <c r="K325" i="1"/>
  <c r="H326" i="1"/>
  <c r="I326" i="1"/>
  <c r="J326" i="1"/>
  <c r="K326" i="1"/>
  <c r="H327" i="1"/>
  <c r="I327" i="1"/>
  <c r="J327" i="1"/>
  <c r="K327" i="1"/>
  <c r="H328" i="1"/>
  <c r="I328" i="1"/>
  <c r="J328" i="1"/>
  <c r="K328" i="1"/>
  <c r="H329" i="1"/>
  <c r="I329" i="1"/>
  <c r="J329" i="1"/>
  <c r="K329" i="1"/>
  <c r="H330" i="1"/>
  <c r="I330" i="1"/>
  <c r="J330" i="1"/>
  <c r="K330" i="1"/>
  <c r="H331" i="1"/>
  <c r="I331" i="1"/>
  <c r="J331" i="1"/>
  <c r="K331" i="1"/>
  <c r="H332" i="1"/>
  <c r="I332" i="1"/>
  <c r="J332" i="1"/>
  <c r="K332" i="1"/>
  <c r="H333" i="1"/>
  <c r="I333" i="1"/>
  <c r="J333" i="1"/>
  <c r="K333" i="1"/>
  <c r="H334" i="1"/>
  <c r="I334" i="1"/>
  <c r="J334" i="1"/>
  <c r="K334" i="1"/>
  <c r="H335" i="1"/>
  <c r="I335" i="1"/>
  <c r="J335" i="1"/>
  <c r="K335" i="1"/>
  <c r="H336" i="1"/>
  <c r="I336" i="1"/>
  <c r="J336" i="1"/>
  <c r="K336" i="1"/>
  <c r="H337" i="1"/>
  <c r="I337" i="1"/>
  <c r="J337" i="1"/>
  <c r="K337" i="1"/>
  <c r="H338" i="1"/>
  <c r="I338" i="1"/>
  <c r="J338" i="1"/>
  <c r="K338" i="1"/>
  <c r="H339" i="1"/>
  <c r="I339" i="1"/>
  <c r="J339" i="1"/>
  <c r="K339" i="1"/>
  <c r="H340" i="1"/>
  <c r="I340" i="1"/>
  <c r="J340" i="1"/>
  <c r="K340" i="1"/>
  <c r="H341" i="1"/>
  <c r="I341" i="1"/>
  <c r="J341" i="1"/>
  <c r="K341" i="1"/>
  <c r="H342" i="1"/>
  <c r="I342" i="1"/>
  <c r="J342" i="1"/>
  <c r="K342" i="1"/>
  <c r="H343" i="1"/>
  <c r="I343" i="1"/>
  <c r="J343" i="1"/>
  <c r="K343" i="1"/>
  <c r="H344" i="1"/>
  <c r="I344" i="1"/>
  <c r="J344" i="1"/>
  <c r="K344" i="1"/>
  <c r="H345" i="1"/>
  <c r="I345" i="1"/>
  <c r="J345" i="1"/>
  <c r="K345" i="1"/>
  <c r="H346" i="1"/>
  <c r="I346" i="1"/>
  <c r="J346" i="1"/>
  <c r="K346" i="1"/>
  <c r="H347" i="1"/>
  <c r="I347" i="1"/>
  <c r="J347" i="1"/>
  <c r="K347" i="1"/>
  <c r="H348" i="1"/>
  <c r="I348" i="1"/>
  <c r="J348" i="1"/>
  <c r="K348" i="1"/>
  <c r="H349" i="1"/>
  <c r="I349" i="1"/>
  <c r="J349" i="1"/>
  <c r="K349" i="1"/>
  <c r="H350" i="1"/>
  <c r="I350" i="1"/>
  <c r="J350" i="1"/>
  <c r="K350" i="1"/>
  <c r="H351" i="1"/>
  <c r="I351" i="1"/>
  <c r="J351" i="1"/>
  <c r="K351" i="1"/>
  <c r="H352" i="1"/>
  <c r="I352" i="1"/>
  <c r="J352" i="1"/>
  <c r="K352" i="1"/>
  <c r="H353" i="1"/>
  <c r="I353" i="1"/>
  <c r="J353" i="1"/>
  <c r="K353" i="1"/>
  <c r="H354" i="1"/>
  <c r="I354" i="1"/>
  <c r="J354" i="1"/>
  <c r="K354" i="1"/>
  <c r="H355" i="1"/>
  <c r="I355" i="1"/>
  <c r="J355" i="1"/>
  <c r="K355" i="1"/>
  <c r="H356" i="1"/>
  <c r="I356" i="1"/>
  <c r="J356" i="1"/>
  <c r="K356" i="1"/>
  <c r="H357" i="1"/>
  <c r="I357" i="1"/>
  <c r="J357" i="1"/>
  <c r="K357" i="1"/>
  <c r="H358" i="1"/>
  <c r="I358" i="1"/>
  <c r="J358" i="1"/>
  <c r="K358" i="1"/>
  <c r="H359" i="1"/>
  <c r="I359" i="1"/>
  <c r="J359" i="1"/>
  <c r="K359" i="1"/>
  <c r="H360" i="1"/>
  <c r="I360" i="1"/>
  <c r="J360" i="1"/>
  <c r="K360" i="1"/>
  <c r="H361" i="1"/>
  <c r="I361" i="1"/>
  <c r="J361" i="1"/>
  <c r="K361" i="1"/>
  <c r="H362" i="1"/>
  <c r="I362" i="1"/>
  <c r="J362" i="1"/>
  <c r="K362" i="1"/>
  <c r="H363" i="1"/>
  <c r="I363" i="1"/>
  <c r="J363" i="1"/>
  <c r="K363" i="1"/>
  <c r="H364" i="1"/>
  <c r="I364" i="1"/>
  <c r="J364" i="1"/>
  <c r="K364" i="1"/>
  <c r="H365" i="1"/>
  <c r="I365" i="1"/>
  <c r="J365" i="1"/>
  <c r="K365" i="1"/>
  <c r="H366" i="1"/>
  <c r="I366" i="1"/>
  <c r="J366" i="1"/>
  <c r="K366" i="1"/>
  <c r="H367" i="1"/>
  <c r="I367" i="1"/>
  <c r="J367" i="1"/>
  <c r="K367" i="1"/>
  <c r="H368" i="1"/>
  <c r="I368" i="1"/>
  <c r="J368" i="1"/>
  <c r="K368" i="1"/>
  <c r="H369" i="1"/>
  <c r="I369" i="1"/>
  <c r="J369" i="1"/>
  <c r="K369" i="1"/>
  <c r="H370" i="1"/>
  <c r="I370" i="1"/>
  <c r="J370" i="1"/>
  <c r="K370" i="1"/>
  <c r="H371" i="1"/>
  <c r="I371" i="1"/>
  <c r="J371" i="1"/>
  <c r="K371" i="1"/>
  <c r="H372" i="1"/>
  <c r="I372" i="1"/>
  <c r="J372" i="1"/>
  <c r="K372" i="1"/>
  <c r="H373" i="1"/>
  <c r="I373" i="1"/>
  <c r="J373" i="1"/>
  <c r="K373" i="1"/>
  <c r="H374" i="1"/>
  <c r="I374" i="1"/>
  <c r="J374" i="1"/>
  <c r="K374" i="1"/>
  <c r="H375" i="1"/>
  <c r="I375" i="1"/>
  <c r="J375" i="1"/>
  <c r="K375" i="1"/>
  <c r="H376" i="1"/>
  <c r="I376" i="1"/>
  <c r="J376" i="1"/>
  <c r="K376" i="1"/>
  <c r="H377" i="1"/>
  <c r="I377" i="1"/>
  <c r="J377" i="1"/>
  <c r="K377" i="1"/>
  <c r="H378" i="1"/>
  <c r="I378" i="1"/>
  <c r="J378" i="1"/>
  <c r="K378" i="1"/>
  <c r="H379" i="1"/>
  <c r="I379" i="1"/>
  <c r="J379" i="1"/>
  <c r="K379" i="1"/>
  <c r="H380" i="1"/>
  <c r="I380" i="1"/>
  <c r="J380" i="1"/>
  <c r="K380" i="1"/>
  <c r="H381" i="1"/>
  <c r="I381" i="1"/>
  <c r="J381" i="1"/>
  <c r="K381" i="1"/>
  <c r="H382" i="1"/>
  <c r="I382" i="1"/>
  <c r="J382" i="1"/>
  <c r="K382" i="1"/>
  <c r="H383" i="1"/>
  <c r="I383" i="1"/>
  <c r="J383" i="1"/>
  <c r="K383" i="1"/>
  <c r="H384" i="1"/>
  <c r="I384" i="1"/>
  <c r="J384" i="1"/>
  <c r="K384" i="1"/>
  <c r="H385" i="1"/>
  <c r="I385" i="1"/>
  <c r="J385" i="1"/>
  <c r="K385" i="1"/>
  <c r="H386" i="1"/>
  <c r="I386" i="1"/>
  <c r="J386" i="1"/>
  <c r="K386" i="1"/>
  <c r="H387" i="1"/>
  <c r="I387" i="1"/>
  <c r="J387" i="1"/>
  <c r="K387" i="1"/>
  <c r="H388" i="1"/>
  <c r="I388" i="1"/>
  <c r="J388" i="1"/>
  <c r="K388" i="1"/>
  <c r="H389" i="1"/>
  <c r="I389" i="1"/>
  <c r="J389" i="1"/>
  <c r="K389" i="1"/>
  <c r="H390" i="1"/>
  <c r="I390" i="1"/>
  <c r="J390" i="1"/>
  <c r="K390" i="1"/>
  <c r="H391" i="1"/>
  <c r="I391" i="1"/>
  <c r="J391" i="1"/>
  <c r="K391" i="1"/>
  <c r="H392" i="1"/>
  <c r="I392" i="1"/>
  <c r="J392" i="1"/>
  <c r="K392" i="1"/>
  <c r="H393" i="1"/>
  <c r="I393" i="1"/>
  <c r="J393" i="1"/>
  <c r="K393" i="1"/>
  <c r="H394" i="1"/>
  <c r="I394" i="1"/>
  <c r="J394" i="1"/>
  <c r="K394" i="1"/>
  <c r="H395" i="1"/>
  <c r="I395" i="1"/>
  <c r="J395" i="1"/>
  <c r="K395" i="1"/>
  <c r="H396" i="1"/>
  <c r="I396" i="1"/>
  <c r="J396" i="1"/>
  <c r="K396" i="1"/>
  <c r="H397" i="1"/>
  <c r="I397" i="1"/>
  <c r="J397" i="1"/>
  <c r="K397" i="1"/>
  <c r="H398" i="1"/>
  <c r="I398" i="1"/>
  <c r="J398" i="1"/>
  <c r="K398" i="1"/>
  <c r="H399" i="1"/>
  <c r="I399" i="1"/>
  <c r="J399" i="1"/>
  <c r="K399" i="1"/>
  <c r="H400" i="1"/>
  <c r="I400" i="1"/>
  <c r="J400" i="1"/>
  <c r="K400" i="1"/>
  <c r="H401" i="1"/>
  <c r="I401" i="1"/>
  <c r="J401" i="1"/>
  <c r="K401" i="1"/>
  <c r="H402" i="1"/>
  <c r="I402" i="1"/>
  <c r="J402" i="1"/>
  <c r="K402" i="1"/>
  <c r="H403" i="1"/>
  <c r="I403" i="1"/>
  <c r="J403" i="1"/>
  <c r="K403" i="1"/>
  <c r="H404" i="1"/>
  <c r="I404" i="1"/>
  <c r="J404" i="1"/>
  <c r="K404" i="1"/>
  <c r="H405" i="1"/>
  <c r="I405" i="1"/>
  <c r="J405" i="1"/>
  <c r="K405" i="1"/>
  <c r="H406" i="1"/>
  <c r="I406" i="1"/>
  <c r="J406" i="1"/>
  <c r="K406" i="1"/>
  <c r="H407" i="1"/>
  <c r="I407" i="1"/>
  <c r="J407" i="1"/>
  <c r="K407" i="1"/>
  <c r="H408" i="1"/>
  <c r="I408" i="1"/>
  <c r="J408" i="1"/>
  <c r="K408" i="1"/>
  <c r="H409" i="1"/>
  <c r="I409" i="1"/>
  <c r="J409" i="1"/>
  <c r="K409" i="1"/>
  <c r="H410" i="1"/>
  <c r="I410" i="1"/>
  <c r="J410" i="1"/>
  <c r="K410" i="1"/>
  <c r="H411" i="1"/>
  <c r="I411" i="1"/>
  <c r="J411" i="1"/>
  <c r="K411" i="1"/>
  <c r="H412" i="1"/>
  <c r="I412" i="1"/>
  <c r="J412" i="1"/>
  <c r="K412" i="1"/>
  <c r="H413" i="1"/>
  <c r="I413" i="1"/>
  <c r="J413" i="1"/>
  <c r="K413" i="1"/>
  <c r="H414" i="1"/>
  <c r="I414" i="1"/>
  <c r="J414" i="1"/>
  <c r="K414" i="1"/>
  <c r="H415" i="1"/>
  <c r="I415" i="1"/>
  <c r="J415" i="1"/>
  <c r="K415" i="1"/>
  <c r="H416" i="1"/>
  <c r="I416" i="1"/>
  <c r="J416" i="1"/>
  <c r="K416" i="1"/>
  <c r="H417" i="1"/>
  <c r="I417" i="1"/>
  <c r="J417" i="1"/>
  <c r="K417" i="1"/>
  <c r="H418" i="1"/>
  <c r="I418" i="1"/>
  <c r="J418" i="1"/>
  <c r="K418" i="1"/>
  <c r="H419" i="1"/>
  <c r="I419" i="1"/>
  <c r="J419" i="1"/>
  <c r="K419" i="1"/>
  <c r="H420" i="1"/>
  <c r="I420" i="1"/>
  <c r="J420" i="1"/>
  <c r="K420" i="1"/>
  <c r="H421" i="1"/>
  <c r="I421" i="1"/>
  <c r="J421" i="1"/>
  <c r="K421" i="1"/>
  <c r="H422" i="1"/>
  <c r="I422" i="1"/>
  <c r="J422" i="1"/>
  <c r="K422" i="1"/>
  <c r="H423" i="1"/>
  <c r="I423" i="1"/>
  <c r="J423" i="1"/>
  <c r="K423" i="1"/>
  <c r="H424" i="1"/>
  <c r="I424" i="1"/>
  <c r="J424" i="1"/>
  <c r="K424" i="1"/>
  <c r="H425" i="1"/>
  <c r="I425" i="1"/>
  <c r="J425" i="1"/>
  <c r="K425" i="1"/>
  <c r="H426" i="1"/>
  <c r="I426" i="1"/>
  <c r="J426" i="1"/>
  <c r="K426" i="1"/>
  <c r="H427" i="1"/>
  <c r="I427" i="1"/>
  <c r="J427" i="1"/>
  <c r="K427" i="1"/>
  <c r="H428" i="1"/>
  <c r="I428" i="1"/>
  <c r="J428" i="1"/>
  <c r="K428" i="1"/>
  <c r="H429" i="1"/>
  <c r="I429" i="1"/>
  <c r="J429" i="1"/>
  <c r="K429" i="1"/>
  <c r="H430" i="1"/>
  <c r="I430" i="1"/>
  <c r="J430" i="1"/>
  <c r="K430" i="1"/>
  <c r="H431" i="1"/>
  <c r="I431" i="1"/>
  <c r="J431" i="1"/>
  <c r="K431" i="1"/>
  <c r="H432" i="1"/>
  <c r="I432" i="1"/>
  <c r="J432" i="1"/>
  <c r="K432" i="1"/>
  <c r="H433" i="1"/>
  <c r="I433" i="1"/>
  <c r="J433" i="1"/>
  <c r="K433" i="1"/>
  <c r="H434" i="1"/>
  <c r="I434" i="1"/>
  <c r="J434" i="1"/>
  <c r="K434" i="1"/>
  <c r="H435" i="1"/>
  <c r="I435" i="1"/>
  <c r="J435" i="1"/>
  <c r="K435" i="1"/>
  <c r="H436" i="1"/>
  <c r="I436" i="1"/>
  <c r="J436" i="1"/>
  <c r="K436" i="1"/>
  <c r="H437" i="1"/>
  <c r="I437" i="1"/>
  <c r="J437" i="1"/>
  <c r="K437" i="1"/>
  <c r="H438" i="1"/>
  <c r="I438" i="1"/>
  <c r="J438" i="1"/>
  <c r="K438" i="1"/>
  <c r="H439" i="1"/>
  <c r="I439" i="1"/>
  <c r="J439" i="1"/>
  <c r="K439" i="1"/>
  <c r="H440" i="1"/>
  <c r="I440" i="1"/>
  <c r="J440" i="1"/>
  <c r="K440" i="1"/>
  <c r="H441" i="1"/>
  <c r="I441" i="1"/>
  <c r="J441" i="1"/>
  <c r="K441" i="1"/>
  <c r="H442" i="1"/>
  <c r="I442" i="1"/>
  <c r="J442" i="1"/>
  <c r="K442" i="1"/>
  <c r="H443" i="1"/>
  <c r="I443" i="1"/>
  <c r="J443" i="1"/>
  <c r="K443" i="1"/>
  <c r="H444" i="1"/>
  <c r="I444" i="1"/>
  <c r="J444" i="1"/>
  <c r="K444" i="1"/>
  <c r="H445" i="1"/>
  <c r="I445" i="1"/>
  <c r="J445" i="1"/>
  <c r="K445" i="1"/>
  <c r="H446" i="1"/>
  <c r="I446" i="1"/>
  <c r="J446" i="1"/>
  <c r="K446" i="1"/>
  <c r="H447" i="1"/>
  <c r="I447" i="1"/>
  <c r="J447" i="1"/>
  <c r="K447" i="1"/>
  <c r="H448" i="1"/>
  <c r="I448" i="1"/>
  <c r="J448" i="1"/>
  <c r="K448" i="1"/>
  <c r="H449" i="1"/>
  <c r="I449" i="1"/>
  <c r="J449" i="1"/>
  <c r="K449" i="1"/>
  <c r="H450" i="1"/>
  <c r="I450" i="1"/>
  <c r="J450" i="1"/>
  <c r="K450" i="1"/>
  <c r="H451" i="1"/>
  <c r="I451" i="1"/>
  <c r="J451" i="1"/>
  <c r="K451" i="1"/>
  <c r="H452" i="1"/>
  <c r="I452" i="1"/>
  <c r="J452" i="1"/>
  <c r="K452" i="1"/>
  <c r="H453" i="1"/>
  <c r="I453" i="1"/>
  <c r="J453" i="1"/>
  <c r="K453" i="1"/>
  <c r="H454" i="1"/>
  <c r="I454" i="1"/>
  <c r="J454" i="1"/>
  <c r="K454" i="1"/>
  <c r="H455" i="1"/>
  <c r="I455" i="1"/>
  <c r="J455" i="1"/>
  <c r="K455" i="1"/>
  <c r="H456" i="1"/>
  <c r="I456" i="1"/>
  <c r="J456" i="1"/>
  <c r="K456" i="1"/>
  <c r="H457" i="1"/>
  <c r="I457" i="1"/>
  <c r="J457" i="1"/>
  <c r="K457" i="1"/>
  <c r="H458" i="1"/>
  <c r="I458" i="1"/>
  <c r="J458" i="1"/>
  <c r="K458" i="1"/>
  <c r="H459" i="1"/>
  <c r="I459" i="1"/>
  <c r="J459" i="1"/>
  <c r="K459" i="1"/>
  <c r="H460" i="1"/>
  <c r="I460" i="1"/>
  <c r="J460" i="1"/>
  <c r="K460" i="1"/>
  <c r="H461" i="1"/>
  <c r="I461" i="1"/>
  <c r="J461" i="1"/>
  <c r="K461" i="1"/>
  <c r="H462" i="1"/>
  <c r="I462" i="1"/>
  <c r="J462" i="1"/>
  <c r="K462" i="1"/>
  <c r="H463" i="1"/>
  <c r="I463" i="1"/>
  <c r="J463" i="1"/>
  <c r="K463" i="1"/>
  <c r="H464" i="1"/>
  <c r="I464" i="1"/>
  <c r="J464" i="1"/>
  <c r="K464" i="1"/>
  <c r="H465" i="1"/>
  <c r="I465" i="1"/>
  <c r="J465" i="1"/>
  <c r="K465" i="1"/>
  <c r="H466" i="1"/>
  <c r="I466" i="1"/>
  <c r="J466" i="1"/>
  <c r="K466" i="1"/>
  <c r="H467" i="1"/>
  <c r="I467" i="1"/>
  <c r="J467" i="1"/>
  <c r="K467" i="1"/>
  <c r="H468" i="1"/>
  <c r="I468" i="1"/>
  <c r="J468" i="1"/>
  <c r="K468" i="1"/>
  <c r="H469" i="1"/>
  <c r="I469" i="1"/>
  <c r="J469" i="1"/>
  <c r="K469" i="1"/>
  <c r="H470" i="1"/>
  <c r="I470" i="1"/>
  <c r="J470" i="1"/>
  <c r="K470" i="1"/>
  <c r="H471" i="1"/>
  <c r="I471" i="1"/>
  <c r="J471" i="1"/>
  <c r="K471" i="1"/>
  <c r="H472" i="1"/>
  <c r="I472" i="1"/>
  <c r="J472" i="1"/>
  <c r="K472" i="1"/>
  <c r="H473" i="1"/>
  <c r="I473" i="1"/>
  <c r="J473" i="1"/>
  <c r="K473" i="1"/>
  <c r="H474" i="1"/>
  <c r="I474" i="1"/>
  <c r="J474" i="1"/>
  <c r="K474" i="1"/>
  <c r="H475" i="1"/>
  <c r="I475" i="1"/>
  <c r="J475" i="1"/>
  <c r="K475" i="1"/>
  <c r="H476" i="1"/>
  <c r="I476" i="1"/>
  <c r="J476" i="1"/>
  <c r="K476" i="1"/>
  <c r="H477" i="1"/>
  <c r="I477" i="1"/>
  <c r="J477" i="1"/>
  <c r="K477" i="1"/>
  <c r="H478" i="1"/>
  <c r="I478" i="1"/>
  <c r="J478" i="1"/>
  <c r="K478" i="1"/>
  <c r="H479" i="1"/>
  <c r="I479" i="1"/>
  <c r="J479" i="1"/>
  <c r="K479" i="1"/>
  <c r="H480" i="1"/>
  <c r="I480" i="1"/>
  <c r="J480" i="1"/>
  <c r="K480" i="1"/>
  <c r="H481" i="1"/>
  <c r="I481" i="1"/>
  <c r="J481" i="1"/>
  <c r="K481" i="1"/>
  <c r="H482" i="1"/>
  <c r="I482" i="1"/>
  <c r="J482" i="1"/>
  <c r="K482" i="1"/>
  <c r="H483" i="1"/>
  <c r="I483" i="1"/>
  <c r="J483" i="1"/>
  <c r="K483" i="1"/>
  <c r="H484" i="1"/>
  <c r="I484" i="1"/>
  <c r="J484" i="1"/>
  <c r="K484" i="1"/>
  <c r="H485" i="1"/>
  <c r="I485" i="1"/>
  <c r="J485" i="1"/>
  <c r="K485" i="1"/>
  <c r="H486" i="1"/>
  <c r="I486" i="1"/>
  <c r="J486" i="1"/>
  <c r="K486" i="1"/>
  <c r="H487" i="1"/>
  <c r="I487" i="1"/>
  <c r="J487" i="1"/>
  <c r="K487" i="1"/>
  <c r="H488" i="1"/>
  <c r="I488" i="1"/>
  <c r="J488" i="1"/>
  <c r="K488" i="1"/>
  <c r="H489" i="1"/>
  <c r="I489" i="1"/>
  <c r="J489" i="1"/>
  <c r="K489" i="1"/>
  <c r="H490" i="1"/>
  <c r="I490" i="1"/>
  <c r="J490" i="1"/>
  <c r="K490" i="1"/>
  <c r="H491" i="1"/>
  <c r="I491" i="1"/>
  <c r="J491" i="1"/>
  <c r="K491" i="1"/>
  <c r="H492" i="1"/>
  <c r="I492" i="1"/>
  <c r="J492" i="1"/>
  <c r="K492" i="1"/>
  <c r="H493" i="1"/>
  <c r="I493" i="1"/>
  <c r="J493" i="1"/>
  <c r="K493" i="1"/>
  <c r="H494" i="1"/>
  <c r="I494" i="1"/>
  <c r="J494" i="1"/>
  <c r="K494" i="1"/>
  <c r="H495" i="1"/>
  <c r="I495" i="1"/>
  <c r="J495" i="1"/>
  <c r="K495" i="1"/>
  <c r="H496" i="1"/>
  <c r="I496" i="1"/>
  <c r="J496" i="1"/>
  <c r="K496" i="1"/>
  <c r="H497" i="1"/>
  <c r="I497" i="1"/>
  <c r="J497" i="1"/>
  <c r="K497" i="1"/>
  <c r="H498" i="1"/>
  <c r="I498" i="1"/>
  <c r="J498" i="1"/>
  <c r="K498" i="1"/>
  <c r="H499" i="1"/>
  <c r="I499" i="1"/>
  <c r="J499" i="1"/>
  <c r="K499" i="1"/>
  <c r="H500" i="1"/>
  <c r="I500" i="1"/>
  <c r="J500" i="1"/>
  <c r="K500" i="1"/>
  <c r="H501" i="1"/>
  <c r="I501" i="1"/>
  <c r="J501" i="1"/>
  <c r="K501" i="1"/>
  <c r="H502" i="1"/>
  <c r="I502" i="1"/>
  <c r="J502" i="1"/>
  <c r="K502" i="1"/>
  <c r="H503" i="1"/>
  <c r="I503" i="1"/>
  <c r="J503" i="1"/>
  <c r="K503" i="1"/>
  <c r="H504" i="1"/>
  <c r="I504" i="1"/>
  <c r="J504" i="1"/>
  <c r="K504" i="1"/>
  <c r="H4" i="1"/>
  <c r="W10" i="1" s="1"/>
  <c r="I4" i="1"/>
  <c r="J4" i="1"/>
  <c r="K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4" i="1"/>
  <c r="Y12" i="1" l="1"/>
  <c r="X11" i="1"/>
  <c r="Z13" i="1"/>
  <c r="V5" i="1"/>
  <c r="Y5" i="1"/>
  <c r="V9" i="1"/>
  <c r="U5" i="1"/>
  <c r="X5" i="1"/>
  <c r="W5" i="1"/>
  <c r="R6" i="1" l="1"/>
  <c r="S6" i="1" s="1"/>
  <c r="R14" i="1"/>
  <c r="S14" i="1" s="1"/>
  <c r="R22" i="1"/>
  <c r="S22" i="1" s="1"/>
  <c r="R30" i="1"/>
  <c r="S30" i="1" s="1"/>
  <c r="R38" i="1"/>
  <c r="S38" i="1" s="1"/>
  <c r="R46" i="1"/>
  <c r="S46" i="1" s="1"/>
  <c r="R54" i="1"/>
  <c r="S54" i="1" s="1"/>
  <c r="R62" i="1"/>
  <c r="S62" i="1" s="1"/>
  <c r="R70" i="1"/>
  <c r="S70" i="1" s="1"/>
  <c r="R78" i="1"/>
  <c r="S78" i="1" s="1"/>
  <c r="R86" i="1"/>
  <c r="S86" i="1" s="1"/>
  <c r="R94" i="1"/>
  <c r="S94" i="1" s="1"/>
  <c r="R102" i="1"/>
  <c r="S102" i="1" s="1"/>
  <c r="R110" i="1"/>
  <c r="S110" i="1" s="1"/>
  <c r="R118" i="1"/>
  <c r="S118" i="1" s="1"/>
  <c r="R126" i="1"/>
  <c r="S126" i="1" s="1"/>
  <c r="R134" i="1"/>
  <c r="S134" i="1" s="1"/>
  <c r="R142" i="1"/>
  <c r="S142" i="1" s="1"/>
  <c r="R150" i="1"/>
  <c r="S150" i="1" s="1"/>
  <c r="R158" i="1"/>
  <c r="S158" i="1" s="1"/>
  <c r="R166" i="1"/>
  <c r="S166" i="1" s="1"/>
  <c r="R174" i="1"/>
  <c r="S174" i="1" s="1"/>
  <c r="R182" i="1"/>
  <c r="S182" i="1" s="1"/>
  <c r="R190" i="1"/>
  <c r="S190" i="1" s="1"/>
  <c r="R198" i="1"/>
  <c r="S198" i="1" s="1"/>
  <c r="R206" i="1"/>
  <c r="S206" i="1" s="1"/>
  <c r="R214" i="1"/>
  <c r="S214" i="1" s="1"/>
  <c r="R222" i="1"/>
  <c r="S222" i="1" s="1"/>
  <c r="R230" i="1"/>
  <c r="S230" i="1" s="1"/>
  <c r="R238" i="1"/>
  <c r="S238" i="1" s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S286" i="1" s="1"/>
  <c r="R294" i="1"/>
  <c r="S294" i="1" s="1"/>
  <c r="R302" i="1"/>
  <c r="S302" i="1" s="1"/>
  <c r="R310" i="1"/>
  <c r="S310" i="1" s="1"/>
  <c r="R318" i="1"/>
  <c r="S318" i="1" s="1"/>
  <c r="R326" i="1"/>
  <c r="S326" i="1" s="1"/>
  <c r="R334" i="1"/>
  <c r="S334" i="1" s="1"/>
  <c r="R342" i="1"/>
  <c r="S342" i="1" s="1"/>
  <c r="R350" i="1"/>
  <c r="S350" i="1" s="1"/>
  <c r="R358" i="1"/>
  <c r="S358" i="1" s="1"/>
  <c r="R366" i="1"/>
  <c r="S366" i="1" s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7" i="1"/>
  <c r="S7" i="1" s="1"/>
  <c r="R15" i="1"/>
  <c r="S15" i="1" s="1"/>
  <c r="R23" i="1"/>
  <c r="S23" i="1" s="1"/>
  <c r="R31" i="1"/>
  <c r="S31" i="1" s="1"/>
  <c r="R39" i="1"/>
  <c r="S39" i="1" s="1"/>
  <c r="R47" i="1"/>
  <c r="S47" i="1" s="1"/>
  <c r="R55" i="1"/>
  <c r="S55" i="1" s="1"/>
  <c r="R63" i="1"/>
  <c r="S63" i="1" s="1"/>
  <c r="R71" i="1"/>
  <c r="S71" i="1" s="1"/>
  <c r="R79" i="1"/>
  <c r="S79" i="1" s="1"/>
  <c r="R87" i="1"/>
  <c r="S87" i="1" s="1"/>
  <c r="R95" i="1"/>
  <c r="S95" i="1" s="1"/>
  <c r="R103" i="1"/>
  <c r="S103" i="1" s="1"/>
  <c r="R111" i="1"/>
  <c r="S111" i="1" s="1"/>
  <c r="R119" i="1"/>
  <c r="S119" i="1" s="1"/>
  <c r="R127" i="1"/>
  <c r="S127" i="1" s="1"/>
  <c r="R135" i="1"/>
  <c r="S135" i="1" s="1"/>
  <c r="R143" i="1"/>
  <c r="S143" i="1" s="1"/>
  <c r="R151" i="1"/>
  <c r="S151" i="1" s="1"/>
  <c r="R159" i="1"/>
  <c r="S159" i="1" s="1"/>
  <c r="R167" i="1"/>
  <c r="S167" i="1" s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S215" i="1" s="1"/>
  <c r="R223" i="1"/>
  <c r="S223" i="1" s="1"/>
  <c r="R231" i="1"/>
  <c r="S231" i="1" s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S287" i="1" s="1"/>
  <c r="R295" i="1"/>
  <c r="S295" i="1" s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S351" i="1" s="1"/>
  <c r="R359" i="1"/>
  <c r="S359" i="1" s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10" i="1"/>
  <c r="S10" i="1" s="1"/>
  <c r="R18" i="1"/>
  <c r="S18" i="1" s="1"/>
  <c r="R26" i="1"/>
  <c r="S26" i="1" s="1"/>
  <c r="R34" i="1"/>
  <c r="S34" i="1" s="1"/>
  <c r="R42" i="1"/>
  <c r="S42" i="1" s="1"/>
  <c r="R50" i="1"/>
  <c r="S50" i="1" s="1"/>
  <c r="R58" i="1"/>
  <c r="S58" i="1" s="1"/>
  <c r="R66" i="1"/>
  <c r="S66" i="1" s="1"/>
  <c r="R74" i="1"/>
  <c r="S74" i="1" s="1"/>
  <c r="R82" i="1"/>
  <c r="S82" i="1" s="1"/>
  <c r="R90" i="1"/>
  <c r="S90" i="1" s="1"/>
  <c r="R98" i="1"/>
  <c r="S98" i="1" s="1"/>
  <c r="R106" i="1"/>
  <c r="S106" i="1" s="1"/>
  <c r="R114" i="1"/>
  <c r="S114" i="1" s="1"/>
  <c r="R122" i="1"/>
  <c r="S122" i="1" s="1"/>
  <c r="R130" i="1"/>
  <c r="S130" i="1" s="1"/>
  <c r="R138" i="1"/>
  <c r="S138" i="1" s="1"/>
  <c r="R146" i="1"/>
  <c r="S146" i="1" s="1"/>
  <c r="R154" i="1"/>
  <c r="S154" i="1" s="1"/>
  <c r="R162" i="1"/>
  <c r="S162" i="1" s="1"/>
  <c r="R170" i="1"/>
  <c r="S170" i="1" s="1"/>
  <c r="R178" i="1"/>
  <c r="S178" i="1" s="1"/>
  <c r="R186" i="1"/>
  <c r="S186" i="1" s="1"/>
  <c r="R194" i="1"/>
  <c r="S194" i="1" s="1"/>
  <c r="R202" i="1"/>
  <c r="S202" i="1" s="1"/>
  <c r="R210" i="1"/>
  <c r="S210" i="1" s="1"/>
  <c r="R218" i="1"/>
  <c r="S218" i="1" s="1"/>
  <c r="R226" i="1"/>
  <c r="S226" i="1" s="1"/>
  <c r="R234" i="1"/>
  <c r="S234" i="1" s="1"/>
  <c r="R242" i="1"/>
  <c r="S242" i="1" s="1"/>
  <c r="R250" i="1"/>
  <c r="S250" i="1" s="1"/>
  <c r="R258" i="1"/>
  <c r="S258" i="1" s="1"/>
  <c r="R266" i="1"/>
  <c r="S266" i="1" s="1"/>
  <c r="R274" i="1"/>
  <c r="S274" i="1" s="1"/>
  <c r="R282" i="1"/>
  <c r="S282" i="1" s="1"/>
  <c r="R290" i="1"/>
  <c r="S290" i="1" s="1"/>
  <c r="R298" i="1"/>
  <c r="S298" i="1" s="1"/>
  <c r="R306" i="1"/>
  <c r="S306" i="1" s="1"/>
  <c r="R314" i="1"/>
  <c r="S314" i="1" s="1"/>
  <c r="R322" i="1"/>
  <c r="S322" i="1" s="1"/>
  <c r="R330" i="1"/>
  <c r="S330" i="1" s="1"/>
  <c r="R338" i="1"/>
  <c r="S338" i="1" s="1"/>
  <c r="R346" i="1"/>
  <c r="S346" i="1" s="1"/>
  <c r="R354" i="1"/>
  <c r="S354" i="1" s="1"/>
  <c r="R362" i="1"/>
  <c r="S362" i="1" s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11" i="1"/>
  <c r="S11" i="1" s="1"/>
  <c r="R19" i="1"/>
  <c r="S19" i="1" s="1"/>
  <c r="R27" i="1"/>
  <c r="S27" i="1" s="1"/>
  <c r="R35" i="1"/>
  <c r="S35" i="1" s="1"/>
  <c r="R43" i="1"/>
  <c r="S43" i="1" s="1"/>
  <c r="R51" i="1"/>
  <c r="S51" i="1" s="1"/>
  <c r="R59" i="1"/>
  <c r="S59" i="1" s="1"/>
  <c r="R67" i="1"/>
  <c r="S67" i="1" s="1"/>
  <c r="R75" i="1"/>
  <c r="S75" i="1" s="1"/>
  <c r="R83" i="1"/>
  <c r="S83" i="1" s="1"/>
  <c r="R91" i="1"/>
  <c r="S91" i="1" s="1"/>
  <c r="R99" i="1"/>
  <c r="S99" i="1" s="1"/>
  <c r="R107" i="1"/>
  <c r="S107" i="1" s="1"/>
  <c r="R115" i="1"/>
  <c r="S115" i="1" s="1"/>
  <c r="R123" i="1"/>
  <c r="S123" i="1" s="1"/>
  <c r="R131" i="1"/>
  <c r="S131" i="1" s="1"/>
  <c r="R139" i="1"/>
  <c r="S139" i="1" s="1"/>
  <c r="R147" i="1"/>
  <c r="S147" i="1" s="1"/>
  <c r="R155" i="1"/>
  <c r="S155" i="1" s="1"/>
  <c r="R163" i="1"/>
  <c r="S163" i="1" s="1"/>
  <c r="R171" i="1"/>
  <c r="S171" i="1" s="1"/>
  <c r="R179" i="1"/>
  <c r="S179" i="1" s="1"/>
  <c r="R187" i="1"/>
  <c r="S187" i="1" s="1"/>
  <c r="R195" i="1"/>
  <c r="S195" i="1" s="1"/>
  <c r="R203" i="1"/>
  <c r="S203" i="1" s="1"/>
  <c r="R211" i="1"/>
  <c r="S211" i="1" s="1"/>
  <c r="R219" i="1"/>
  <c r="S219" i="1" s="1"/>
  <c r="R227" i="1"/>
  <c r="S227" i="1" s="1"/>
  <c r="R235" i="1"/>
  <c r="S235" i="1" s="1"/>
  <c r="R243" i="1"/>
  <c r="S243" i="1" s="1"/>
  <c r="R251" i="1"/>
  <c r="S251" i="1" s="1"/>
  <c r="R259" i="1"/>
  <c r="S259" i="1" s="1"/>
  <c r="R267" i="1"/>
  <c r="S267" i="1" s="1"/>
  <c r="R275" i="1"/>
  <c r="S275" i="1" s="1"/>
  <c r="R283" i="1"/>
  <c r="S283" i="1" s="1"/>
  <c r="R291" i="1"/>
  <c r="S291" i="1" s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S339" i="1" s="1"/>
  <c r="R347" i="1"/>
  <c r="S347" i="1" s="1"/>
  <c r="R355" i="1"/>
  <c r="S355" i="1" s="1"/>
  <c r="R363" i="1"/>
  <c r="S363" i="1" s="1"/>
  <c r="R371" i="1"/>
  <c r="S371" i="1" s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16" i="1"/>
  <c r="S16" i="1" s="1"/>
  <c r="R32" i="1"/>
  <c r="S32" i="1" s="1"/>
  <c r="R48" i="1"/>
  <c r="S48" i="1" s="1"/>
  <c r="R64" i="1"/>
  <c r="S64" i="1" s="1"/>
  <c r="R80" i="1"/>
  <c r="S80" i="1" s="1"/>
  <c r="R96" i="1"/>
  <c r="S96" i="1" s="1"/>
  <c r="R112" i="1"/>
  <c r="S112" i="1" s="1"/>
  <c r="R128" i="1"/>
  <c r="S128" i="1" s="1"/>
  <c r="R144" i="1"/>
  <c r="S144" i="1" s="1"/>
  <c r="R160" i="1"/>
  <c r="S160" i="1" s="1"/>
  <c r="R176" i="1"/>
  <c r="S176" i="1" s="1"/>
  <c r="R192" i="1"/>
  <c r="S192" i="1" s="1"/>
  <c r="R208" i="1"/>
  <c r="S208" i="1" s="1"/>
  <c r="R224" i="1"/>
  <c r="S224" i="1" s="1"/>
  <c r="R240" i="1"/>
  <c r="S240" i="1" s="1"/>
  <c r="R256" i="1"/>
  <c r="S256" i="1" s="1"/>
  <c r="R272" i="1"/>
  <c r="S272" i="1" s="1"/>
  <c r="R288" i="1"/>
  <c r="S288" i="1" s="1"/>
  <c r="R304" i="1"/>
  <c r="S304" i="1" s="1"/>
  <c r="R320" i="1"/>
  <c r="S320" i="1" s="1"/>
  <c r="R336" i="1"/>
  <c r="S336" i="1" s="1"/>
  <c r="R352" i="1"/>
  <c r="S352" i="1" s="1"/>
  <c r="R368" i="1"/>
  <c r="S368" i="1" s="1"/>
  <c r="R384" i="1"/>
  <c r="S384" i="1" s="1"/>
  <c r="R400" i="1"/>
  <c r="S400" i="1" s="1"/>
  <c r="R416" i="1"/>
  <c r="S416" i="1" s="1"/>
  <c r="R432" i="1"/>
  <c r="S432" i="1" s="1"/>
  <c r="R448" i="1"/>
  <c r="S448" i="1" s="1"/>
  <c r="R464" i="1"/>
  <c r="S464" i="1" s="1"/>
  <c r="R475" i="1"/>
  <c r="S475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668" i="1"/>
  <c r="S668" i="1" s="1"/>
  <c r="R676" i="1"/>
  <c r="S676" i="1" s="1"/>
  <c r="R684" i="1"/>
  <c r="S684" i="1" s="1"/>
  <c r="R692" i="1"/>
  <c r="S692" i="1" s="1"/>
  <c r="R700" i="1"/>
  <c r="S700" i="1" s="1"/>
  <c r="R708" i="1"/>
  <c r="S708" i="1" s="1"/>
  <c r="R716" i="1"/>
  <c r="S716" i="1" s="1"/>
  <c r="R724" i="1"/>
  <c r="S724" i="1" s="1"/>
  <c r="R732" i="1"/>
  <c r="S732" i="1" s="1"/>
  <c r="R740" i="1"/>
  <c r="S740" i="1" s="1"/>
  <c r="R748" i="1"/>
  <c r="S748" i="1" s="1"/>
  <c r="R756" i="1"/>
  <c r="S756" i="1" s="1"/>
  <c r="R764" i="1"/>
  <c r="S764" i="1" s="1"/>
  <c r="R772" i="1"/>
  <c r="S772" i="1" s="1"/>
  <c r="R780" i="1"/>
  <c r="S780" i="1" s="1"/>
  <c r="R788" i="1"/>
  <c r="S788" i="1" s="1"/>
  <c r="R796" i="1"/>
  <c r="S796" i="1" s="1"/>
  <c r="R804" i="1"/>
  <c r="S804" i="1" s="1"/>
  <c r="R812" i="1"/>
  <c r="S812" i="1" s="1"/>
  <c r="R820" i="1"/>
  <c r="S820" i="1" s="1"/>
  <c r="R828" i="1"/>
  <c r="S828" i="1" s="1"/>
  <c r="R836" i="1"/>
  <c r="S836" i="1" s="1"/>
  <c r="R844" i="1"/>
  <c r="S844" i="1" s="1"/>
  <c r="R852" i="1"/>
  <c r="S852" i="1" s="1"/>
  <c r="R860" i="1"/>
  <c r="S860" i="1" s="1"/>
  <c r="R868" i="1"/>
  <c r="S868" i="1" s="1"/>
  <c r="R876" i="1"/>
  <c r="S876" i="1" s="1"/>
  <c r="R884" i="1"/>
  <c r="S884" i="1" s="1"/>
  <c r="R892" i="1"/>
  <c r="S892" i="1" s="1"/>
  <c r="R17" i="1"/>
  <c r="S17" i="1" s="1"/>
  <c r="R33" i="1"/>
  <c r="S33" i="1" s="1"/>
  <c r="R49" i="1"/>
  <c r="S49" i="1" s="1"/>
  <c r="R65" i="1"/>
  <c r="S65" i="1" s="1"/>
  <c r="R81" i="1"/>
  <c r="S81" i="1" s="1"/>
  <c r="R97" i="1"/>
  <c r="S97" i="1" s="1"/>
  <c r="R113" i="1"/>
  <c r="S113" i="1" s="1"/>
  <c r="R129" i="1"/>
  <c r="S129" i="1" s="1"/>
  <c r="R145" i="1"/>
  <c r="S145" i="1" s="1"/>
  <c r="R161" i="1"/>
  <c r="S161" i="1" s="1"/>
  <c r="R177" i="1"/>
  <c r="S177" i="1" s="1"/>
  <c r="R193" i="1"/>
  <c r="S193" i="1" s="1"/>
  <c r="R209" i="1"/>
  <c r="S209" i="1" s="1"/>
  <c r="R225" i="1"/>
  <c r="S225" i="1" s="1"/>
  <c r="R241" i="1"/>
  <c r="S241" i="1" s="1"/>
  <c r="R257" i="1"/>
  <c r="S257" i="1" s="1"/>
  <c r="R273" i="1"/>
  <c r="S273" i="1" s="1"/>
  <c r="R289" i="1"/>
  <c r="S289" i="1" s="1"/>
  <c r="R305" i="1"/>
  <c r="S305" i="1" s="1"/>
  <c r="R321" i="1"/>
  <c r="S321" i="1" s="1"/>
  <c r="R337" i="1"/>
  <c r="S337" i="1" s="1"/>
  <c r="R353" i="1"/>
  <c r="S353" i="1" s="1"/>
  <c r="R369" i="1"/>
  <c r="S369" i="1" s="1"/>
  <c r="R385" i="1"/>
  <c r="S385" i="1" s="1"/>
  <c r="R401" i="1"/>
  <c r="S401" i="1" s="1"/>
  <c r="R417" i="1"/>
  <c r="S417" i="1" s="1"/>
  <c r="R433" i="1"/>
  <c r="S433" i="1" s="1"/>
  <c r="R449" i="1"/>
  <c r="S449" i="1" s="1"/>
  <c r="R465" i="1"/>
  <c r="S465" i="1" s="1"/>
  <c r="R476" i="1"/>
  <c r="S476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669" i="1"/>
  <c r="S669" i="1" s="1"/>
  <c r="R677" i="1"/>
  <c r="S677" i="1" s="1"/>
  <c r="R685" i="1"/>
  <c r="S685" i="1" s="1"/>
  <c r="R693" i="1"/>
  <c r="S693" i="1" s="1"/>
  <c r="R701" i="1"/>
  <c r="S701" i="1" s="1"/>
  <c r="R709" i="1"/>
  <c r="S709" i="1" s="1"/>
  <c r="R717" i="1"/>
  <c r="S717" i="1" s="1"/>
  <c r="R725" i="1"/>
  <c r="S725" i="1" s="1"/>
  <c r="R733" i="1"/>
  <c r="S733" i="1" s="1"/>
  <c r="R741" i="1"/>
  <c r="S741" i="1" s="1"/>
  <c r="R749" i="1"/>
  <c r="S749" i="1" s="1"/>
  <c r="R757" i="1"/>
  <c r="S757" i="1" s="1"/>
  <c r="R765" i="1"/>
  <c r="S765" i="1" s="1"/>
  <c r="R773" i="1"/>
  <c r="S773" i="1" s="1"/>
  <c r="R781" i="1"/>
  <c r="S781" i="1" s="1"/>
  <c r="R789" i="1"/>
  <c r="S789" i="1" s="1"/>
  <c r="R797" i="1"/>
  <c r="S797" i="1" s="1"/>
  <c r="R805" i="1"/>
  <c r="S805" i="1" s="1"/>
  <c r="R813" i="1"/>
  <c r="S813" i="1" s="1"/>
  <c r="R821" i="1"/>
  <c r="S821" i="1" s="1"/>
  <c r="R8" i="1"/>
  <c r="S8" i="1" s="1"/>
  <c r="R24" i="1"/>
  <c r="S24" i="1" s="1"/>
  <c r="R40" i="1"/>
  <c r="S40" i="1" s="1"/>
  <c r="R56" i="1"/>
  <c r="S56" i="1" s="1"/>
  <c r="R72" i="1"/>
  <c r="S72" i="1" s="1"/>
  <c r="R88" i="1"/>
  <c r="S88" i="1" s="1"/>
  <c r="R104" i="1"/>
  <c r="S104" i="1" s="1"/>
  <c r="R120" i="1"/>
  <c r="S120" i="1" s="1"/>
  <c r="R136" i="1"/>
  <c r="S136" i="1" s="1"/>
  <c r="R152" i="1"/>
  <c r="S152" i="1" s="1"/>
  <c r="R168" i="1"/>
  <c r="S168" i="1" s="1"/>
  <c r="R184" i="1"/>
  <c r="S184" i="1" s="1"/>
  <c r="R200" i="1"/>
  <c r="S200" i="1" s="1"/>
  <c r="R216" i="1"/>
  <c r="S216" i="1" s="1"/>
  <c r="R232" i="1"/>
  <c r="S232" i="1" s="1"/>
  <c r="R248" i="1"/>
  <c r="S248" i="1" s="1"/>
  <c r="R264" i="1"/>
  <c r="S264" i="1" s="1"/>
  <c r="R280" i="1"/>
  <c r="S280" i="1" s="1"/>
  <c r="R296" i="1"/>
  <c r="S296" i="1" s="1"/>
  <c r="R312" i="1"/>
  <c r="S312" i="1" s="1"/>
  <c r="R328" i="1"/>
  <c r="S328" i="1" s="1"/>
  <c r="R344" i="1"/>
  <c r="S344" i="1" s="1"/>
  <c r="R360" i="1"/>
  <c r="S360" i="1" s="1"/>
  <c r="R376" i="1"/>
  <c r="S376" i="1" s="1"/>
  <c r="R392" i="1"/>
  <c r="S392" i="1" s="1"/>
  <c r="R408" i="1"/>
  <c r="S408" i="1" s="1"/>
  <c r="R424" i="1"/>
  <c r="S424" i="1" s="1"/>
  <c r="R440" i="1"/>
  <c r="S440" i="1" s="1"/>
  <c r="R456" i="1"/>
  <c r="S456" i="1" s="1"/>
  <c r="R470" i="1"/>
  <c r="S470" i="1" s="1"/>
  <c r="R479" i="1"/>
  <c r="S479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664" i="1"/>
  <c r="S664" i="1" s="1"/>
  <c r="R672" i="1"/>
  <c r="S672" i="1" s="1"/>
  <c r="R680" i="1"/>
  <c r="S680" i="1" s="1"/>
  <c r="R688" i="1"/>
  <c r="S688" i="1" s="1"/>
  <c r="R696" i="1"/>
  <c r="S696" i="1" s="1"/>
  <c r="R704" i="1"/>
  <c r="S704" i="1" s="1"/>
  <c r="R712" i="1"/>
  <c r="S712" i="1" s="1"/>
  <c r="R720" i="1"/>
  <c r="S720" i="1" s="1"/>
  <c r="R728" i="1"/>
  <c r="S728" i="1" s="1"/>
  <c r="R736" i="1"/>
  <c r="S736" i="1" s="1"/>
  <c r="R744" i="1"/>
  <c r="S744" i="1" s="1"/>
  <c r="R752" i="1"/>
  <c r="S752" i="1" s="1"/>
  <c r="R760" i="1"/>
  <c r="S760" i="1" s="1"/>
  <c r="R768" i="1"/>
  <c r="S768" i="1" s="1"/>
  <c r="R776" i="1"/>
  <c r="S776" i="1" s="1"/>
  <c r="R784" i="1"/>
  <c r="S784" i="1" s="1"/>
  <c r="R792" i="1"/>
  <c r="S792" i="1" s="1"/>
  <c r="R800" i="1"/>
  <c r="S800" i="1" s="1"/>
  <c r="R808" i="1"/>
  <c r="S808" i="1" s="1"/>
  <c r="R816" i="1"/>
  <c r="S816" i="1" s="1"/>
  <c r="R824" i="1"/>
  <c r="S824" i="1" s="1"/>
  <c r="R832" i="1"/>
  <c r="S832" i="1" s="1"/>
  <c r="R840" i="1"/>
  <c r="S840" i="1" s="1"/>
  <c r="R848" i="1"/>
  <c r="S848" i="1" s="1"/>
  <c r="R856" i="1"/>
  <c r="S856" i="1" s="1"/>
  <c r="R864" i="1"/>
  <c r="S864" i="1" s="1"/>
  <c r="R872" i="1"/>
  <c r="S872" i="1" s="1"/>
  <c r="R880" i="1"/>
  <c r="S880" i="1" s="1"/>
  <c r="R888" i="1"/>
  <c r="S888" i="1" s="1"/>
  <c r="R9" i="1"/>
  <c r="S9" i="1" s="1"/>
  <c r="R25" i="1"/>
  <c r="S25" i="1" s="1"/>
  <c r="R41" i="1"/>
  <c r="S41" i="1" s="1"/>
  <c r="R57" i="1"/>
  <c r="S57" i="1" s="1"/>
  <c r="R73" i="1"/>
  <c r="S73" i="1" s="1"/>
  <c r="R89" i="1"/>
  <c r="S89" i="1" s="1"/>
  <c r="R105" i="1"/>
  <c r="S105" i="1" s="1"/>
  <c r="R121" i="1"/>
  <c r="S121" i="1" s="1"/>
  <c r="R137" i="1"/>
  <c r="S137" i="1" s="1"/>
  <c r="R153" i="1"/>
  <c r="S153" i="1" s="1"/>
  <c r="R169" i="1"/>
  <c r="S169" i="1" s="1"/>
  <c r="R185" i="1"/>
  <c r="S185" i="1" s="1"/>
  <c r="R201" i="1"/>
  <c r="S201" i="1" s="1"/>
  <c r="R217" i="1"/>
  <c r="S217" i="1" s="1"/>
  <c r="R233" i="1"/>
  <c r="S233" i="1" s="1"/>
  <c r="R249" i="1"/>
  <c r="S249" i="1" s="1"/>
  <c r="R265" i="1"/>
  <c r="S265" i="1" s="1"/>
  <c r="R281" i="1"/>
  <c r="S281" i="1" s="1"/>
  <c r="R297" i="1"/>
  <c r="S297" i="1" s="1"/>
  <c r="R313" i="1"/>
  <c r="S313" i="1" s="1"/>
  <c r="R329" i="1"/>
  <c r="S329" i="1" s="1"/>
  <c r="R345" i="1"/>
  <c r="S345" i="1" s="1"/>
  <c r="R361" i="1"/>
  <c r="S361" i="1" s="1"/>
  <c r="R377" i="1"/>
  <c r="S377" i="1" s="1"/>
  <c r="R393" i="1"/>
  <c r="S393" i="1" s="1"/>
  <c r="R409" i="1"/>
  <c r="S409" i="1" s="1"/>
  <c r="R425" i="1"/>
  <c r="S425" i="1" s="1"/>
  <c r="R441" i="1"/>
  <c r="S441" i="1" s="1"/>
  <c r="R457" i="1"/>
  <c r="S457" i="1" s="1"/>
  <c r="R471" i="1"/>
  <c r="S471" i="1" s="1"/>
  <c r="R480" i="1"/>
  <c r="S480" i="1" s="1"/>
  <c r="R489" i="1"/>
  <c r="S489" i="1" s="1"/>
  <c r="R497" i="1"/>
  <c r="S497" i="1" s="1"/>
  <c r="R505" i="1"/>
  <c r="S505" i="1" s="1"/>
  <c r="R513" i="1"/>
  <c r="S513" i="1" s="1"/>
  <c r="R521" i="1"/>
  <c r="S521" i="1" s="1"/>
  <c r="R529" i="1"/>
  <c r="S529" i="1" s="1"/>
  <c r="R537" i="1"/>
  <c r="S537" i="1" s="1"/>
  <c r="R545" i="1"/>
  <c r="S545" i="1" s="1"/>
  <c r="R553" i="1"/>
  <c r="S553" i="1" s="1"/>
  <c r="R561" i="1"/>
  <c r="S561" i="1" s="1"/>
  <c r="R569" i="1"/>
  <c r="S569" i="1" s="1"/>
  <c r="R577" i="1"/>
  <c r="S577" i="1" s="1"/>
  <c r="R585" i="1"/>
  <c r="S585" i="1" s="1"/>
  <c r="R593" i="1"/>
  <c r="S593" i="1" s="1"/>
  <c r="R601" i="1"/>
  <c r="S601" i="1" s="1"/>
  <c r="R609" i="1"/>
  <c r="S609" i="1" s="1"/>
  <c r="R617" i="1"/>
  <c r="S617" i="1" s="1"/>
  <c r="R625" i="1"/>
  <c r="S625" i="1" s="1"/>
  <c r="R633" i="1"/>
  <c r="S633" i="1" s="1"/>
  <c r="R641" i="1"/>
  <c r="S641" i="1" s="1"/>
  <c r="R649" i="1"/>
  <c r="S649" i="1" s="1"/>
  <c r="R657" i="1"/>
  <c r="S657" i="1" s="1"/>
  <c r="R665" i="1"/>
  <c r="S665" i="1" s="1"/>
  <c r="R673" i="1"/>
  <c r="S673" i="1" s="1"/>
  <c r="R681" i="1"/>
  <c r="S681" i="1" s="1"/>
  <c r="R689" i="1"/>
  <c r="S689" i="1" s="1"/>
  <c r="R697" i="1"/>
  <c r="S697" i="1" s="1"/>
  <c r="R705" i="1"/>
  <c r="S705" i="1" s="1"/>
  <c r="R713" i="1"/>
  <c r="S713" i="1" s="1"/>
  <c r="R721" i="1"/>
  <c r="S721" i="1" s="1"/>
  <c r="R729" i="1"/>
  <c r="S729" i="1" s="1"/>
  <c r="R737" i="1"/>
  <c r="S737" i="1" s="1"/>
  <c r="R745" i="1"/>
  <c r="S745" i="1" s="1"/>
  <c r="R753" i="1"/>
  <c r="S753" i="1" s="1"/>
  <c r="R761" i="1"/>
  <c r="S761" i="1" s="1"/>
  <c r="R769" i="1"/>
  <c r="S769" i="1" s="1"/>
  <c r="R777" i="1"/>
  <c r="S777" i="1" s="1"/>
  <c r="R785" i="1"/>
  <c r="S785" i="1" s="1"/>
  <c r="R793" i="1"/>
  <c r="S793" i="1" s="1"/>
  <c r="R801" i="1"/>
  <c r="S801" i="1" s="1"/>
  <c r="R809" i="1"/>
  <c r="S809" i="1" s="1"/>
  <c r="R817" i="1"/>
  <c r="S817" i="1" s="1"/>
  <c r="R28" i="1"/>
  <c r="S28" i="1" s="1"/>
  <c r="R60" i="1"/>
  <c r="S60" i="1" s="1"/>
  <c r="R92" i="1"/>
  <c r="S92" i="1" s="1"/>
  <c r="R124" i="1"/>
  <c r="S124" i="1" s="1"/>
  <c r="R156" i="1"/>
  <c r="S156" i="1" s="1"/>
  <c r="R188" i="1"/>
  <c r="S188" i="1" s="1"/>
  <c r="R220" i="1"/>
  <c r="S220" i="1" s="1"/>
  <c r="R252" i="1"/>
  <c r="S252" i="1" s="1"/>
  <c r="R284" i="1"/>
  <c r="S284" i="1" s="1"/>
  <c r="R316" i="1"/>
  <c r="S316" i="1" s="1"/>
  <c r="R348" i="1"/>
  <c r="S348" i="1" s="1"/>
  <c r="R380" i="1"/>
  <c r="S380" i="1" s="1"/>
  <c r="R412" i="1"/>
  <c r="S412" i="1" s="1"/>
  <c r="R444" i="1"/>
  <c r="S444" i="1" s="1"/>
  <c r="R472" i="1"/>
  <c r="S472" i="1" s="1"/>
  <c r="R490" i="1"/>
  <c r="S490" i="1" s="1"/>
  <c r="R506" i="1"/>
  <c r="S506" i="1" s="1"/>
  <c r="R522" i="1"/>
  <c r="S522" i="1" s="1"/>
  <c r="R538" i="1"/>
  <c r="S538" i="1" s="1"/>
  <c r="R554" i="1"/>
  <c r="S554" i="1" s="1"/>
  <c r="R570" i="1"/>
  <c r="S570" i="1" s="1"/>
  <c r="R586" i="1"/>
  <c r="S586" i="1" s="1"/>
  <c r="R602" i="1"/>
  <c r="S602" i="1" s="1"/>
  <c r="R618" i="1"/>
  <c r="S618" i="1" s="1"/>
  <c r="R634" i="1"/>
  <c r="S634" i="1" s="1"/>
  <c r="R650" i="1"/>
  <c r="S650" i="1" s="1"/>
  <c r="R666" i="1"/>
  <c r="S666" i="1" s="1"/>
  <c r="R682" i="1"/>
  <c r="S682" i="1" s="1"/>
  <c r="R698" i="1"/>
  <c r="S698" i="1" s="1"/>
  <c r="R714" i="1"/>
  <c r="S714" i="1" s="1"/>
  <c r="R730" i="1"/>
  <c r="S730" i="1" s="1"/>
  <c r="R746" i="1"/>
  <c r="S746" i="1" s="1"/>
  <c r="R762" i="1"/>
  <c r="S762" i="1" s="1"/>
  <c r="R778" i="1"/>
  <c r="S778" i="1" s="1"/>
  <c r="R794" i="1"/>
  <c r="S794" i="1" s="1"/>
  <c r="R810" i="1"/>
  <c r="S810" i="1" s="1"/>
  <c r="R825" i="1"/>
  <c r="S825" i="1" s="1"/>
  <c r="R835" i="1"/>
  <c r="S835" i="1" s="1"/>
  <c r="R846" i="1"/>
  <c r="S846" i="1" s="1"/>
  <c r="R857" i="1"/>
  <c r="S857" i="1" s="1"/>
  <c r="R867" i="1"/>
  <c r="S867" i="1" s="1"/>
  <c r="R878" i="1"/>
  <c r="S878" i="1" s="1"/>
  <c r="R889" i="1"/>
  <c r="S889" i="1" s="1"/>
  <c r="R898" i="1"/>
  <c r="S898" i="1" s="1"/>
  <c r="R906" i="1"/>
  <c r="S906" i="1" s="1"/>
  <c r="R914" i="1"/>
  <c r="S914" i="1" s="1"/>
  <c r="R922" i="1"/>
  <c r="S922" i="1" s="1"/>
  <c r="R930" i="1"/>
  <c r="S930" i="1" s="1"/>
  <c r="R938" i="1"/>
  <c r="S938" i="1" s="1"/>
  <c r="R946" i="1"/>
  <c r="S946" i="1" s="1"/>
  <c r="R954" i="1"/>
  <c r="S954" i="1" s="1"/>
  <c r="R962" i="1"/>
  <c r="S962" i="1" s="1"/>
  <c r="R970" i="1"/>
  <c r="S970" i="1" s="1"/>
  <c r="R978" i="1"/>
  <c r="S978" i="1" s="1"/>
  <c r="R986" i="1"/>
  <c r="S986" i="1" s="1"/>
  <c r="R994" i="1"/>
  <c r="S994" i="1" s="1"/>
  <c r="R1002" i="1"/>
  <c r="S1002" i="1" s="1"/>
  <c r="R29" i="1"/>
  <c r="S29" i="1" s="1"/>
  <c r="R61" i="1"/>
  <c r="S61" i="1" s="1"/>
  <c r="R93" i="1"/>
  <c r="S93" i="1" s="1"/>
  <c r="R125" i="1"/>
  <c r="S125" i="1" s="1"/>
  <c r="R157" i="1"/>
  <c r="S157" i="1" s="1"/>
  <c r="R189" i="1"/>
  <c r="S189" i="1" s="1"/>
  <c r="R221" i="1"/>
  <c r="S221" i="1" s="1"/>
  <c r="R253" i="1"/>
  <c r="S253" i="1" s="1"/>
  <c r="R285" i="1"/>
  <c r="S285" i="1" s="1"/>
  <c r="R317" i="1"/>
  <c r="S317" i="1" s="1"/>
  <c r="R349" i="1"/>
  <c r="S349" i="1" s="1"/>
  <c r="R381" i="1"/>
  <c r="S381" i="1" s="1"/>
  <c r="R413" i="1"/>
  <c r="S413" i="1" s="1"/>
  <c r="R445" i="1"/>
  <c r="S445" i="1" s="1"/>
  <c r="R473" i="1"/>
  <c r="S473" i="1" s="1"/>
  <c r="R491" i="1"/>
  <c r="S491" i="1" s="1"/>
  <c r="R507" i="1"/>
  <c r="S507" i="1" s="1"/>
  <c r="R523" i="1"/>
  <c r="S523" i="1" s="1"/>
  <c r="R539" i="1"/>
  <c r="S539" i="1" s="1"/>
  <c r="R555" i="1"/>
  <c r="S555" i="1" s="1"/>
  <c r="R571" i="1"/>
  <c r="S571" i="1" s="1"/>
  <c r="R587" i="1"/>
  <c r="S587" i="1" s="1"/>
  <c r="R603" i="1"/>
  <c r="S603" i="1" s="1"/>
  <c r="R619" i="1"/>
  <c r="S619" i="1" s="1"/>
  <c r="R635" i="1"/>
  <c r="S635" i="1" s="1"/>
  <c r="R651" i="1"/>
  <c r="S651" i="1" s="1"/>
  <c r="R667" i="1"/>
  <c r="S667" i="1" s="1"/>
  <c r="R683" i="1"/>
  <c r="S683" i="1" s="1"/>
  <c r="R699" i="1"/>
  <c r="S699" i="1" s="1"/>
  <c r="R715" i="1"/>
  <c r="S715" i="1" s="1"/>
  <c r="R731" i="1"/>
  <c r="S731" i="1" s="1"/>
  <c r="R747" i="1"/>
  <c r="S747" i="1" s="1"/>
  <c r="R763" i="1"/>
  <c r="S763" i="1" s="1"/>
  <c r="R779" i="1"/>
  <c r="S779" i="1" s="1"/>
  <c r="R795" i="1"/>
  <c r="S795" i="1" s="1"/>
  <c r="R811" i="1"/>
  <c r="S811" i="1" s="1"/>
  <c r="R826" i="1"/>
  <c r="S826" i="1" s="1"/>
  <c r="R837" i="1"/>
  <c r="S837" i="1" s="1"/>
  <c r="R847" i="1"/>
  <c r="S847" i="1" s="1"/>
  <c r="R858" i="1"/>
  <c r="S858" i="1" s="1"/>
  <c r="R869" i="1"/>
  <c r="S869" i="1" s="1"/>
  <c r="R879" i="1"/>
  <c r="S879" i="1" s="1"/>
  <c r="R890" i="1"/>
  <c r="S890" i="1" s="1"/>
  <c r="R899" i="1"/>
  <c r="S899" i="1" s="1"/>
  <c r="R907" i="1"/>
  <c r="S907" i="1" s="1"/>
  <c r="R915" i="1"/>
  <c r="S915" i="1" s="1"/>
  <c r="R923" i="1"/>
  <c r="S923" i="1" s="1"/>
  <c r="R931" i="1"/>
  <c r="S931" i="1" s="1"/>
  <c r="R939" i="1"/>
  <c r="S939" i="1" s="1"/>
  <c r="R947" i="1"/>
  <c r="S947" i="1" s="1"/>
  <c r="R955" i="1"/>
  <c r="S955" i="1" s="1"/>
  <c r="R963" i="1"/>
  <c r="S963" i="1" s="1"/>
  <c r="R971" i="1"/>
  <c r="S971" i="1" s="1"/>
  <c r="R979" i="1"/>
  <c r="S979" i="1" s="1"/>
  <c r="R987" i="1"/>
  <c r="S987" i="1" s="1"/>
  <c r="R995" i="1"/>
  <c r="S995" i="1" s="1"/>
  <c r="R1003" i="1"/>
  <c r="S1003" i="1" s="1"/>
  <c r="R4" i="1"/>
  <c r="S4" i="1" s="1"/>
  <c r="R36" i="1"/>
  <c r="S36" i="1" s="1"/>
  <c r="R68" i="1"/>
  <c r="S68" i="1" s="1"/>
  <c r="R100" i="1"/>
  <c r="S100" i="1" s="1"/>
  <c r="R132" i="1"/>
  <c r="S132" i="1" s="1"/>
  <c r="R164" i="1"/>
  <c r="S164" i="1" s="1"/>
  <c r="R196" i="1"/>
  <c r="S196" i="1" s="1"/>
  <c r="R228" i="1"/>
  <c r="S228" i="1" s="1"/>
  <c r="R260" i="1"/>
  <c r="S260" i="1" s="1"/>
  <c r="R292" i="1"/>
  <c r="S292" i="1" s="1"/>
  <c r="R324" i="1"/>
  <c r="S324" i="1" s="1"/>
  <c r="R356" i="1"/>
  <c r="S356" i="1" s="1"/>
  <c r="R388" i="1"/>
  <c r="S388" i="1" s="1"/>
  <c r="R420" i="1"/>
  <c r="S420" i="1" s="1"/>
  <c r="R452" i="1"/>
  <c r="S452" i="1" s="1"/>
  <c r="R477" i="1"/>
  <c r="S477" i="1" s="1"/>
  <c r="R494" i="1"/>
  <c r="S494" i="1" s="1"/>
  <c r="R510" i="1"/>
  <c r="S510" i="1" s="1"/>
  <c r="R526" i="1"/>
  <c r="S526" i="1" s="1"/>
  <c r="R542" i="1"/>
  <c r="S542" i="1" s="1"/>
  <c r="R558" i="1"/>
  <c r="S558" i="1" s="1"/>
  <c r="R574" i="1"/>
  <c r="S574" i="1" s="1"/>
  <c r="R590" i="1"/>
  <c r="S590" i="1" s="1"/>
  <c r="R606" i="1"/>
  <c r="S606" i="1" s="1"/>
  <c r="R622" i="1"/>
  <c r="S622" i="1" s="1"/>
  <c r="R638" i="1"/>
  <c r="S638" i="1" s="1"/>
  <c r="R654" i="1"/>
  <c r="S654" i="1" s="1"/>
  <c r="R670" i="1"/>
  <c r="S670" i="1" s="1"/>
  <c r="R686" i="1"/>
  <c r="S686" i="1" s="1"/>
  <c r="R702" i="1"/>
  <c r="S702" i="1" s="1"/>
  <c r="R718" i="1"/>
  <c r="S718" i="1" s="1"/>
  <c r="R734" i="1"/>
  <c r="S734" i="1" s="1"/>
  <c r="R750" i="1"/>
  <c r="S750" i="1" s="1"/>
  <c r="R766" i="1"/>
  <c r="S766" i="1" s="1"/>
  <c r="R782" i="1"/>
  <c r="S782" i="1" s="1"/>
  <c r="R798" i="1"/>
  <c r="S798" i="1" s="1"/>
  <c r="R814" i="1"/>
  <c r="S814" i="1" s="1"/>
  <c r="R827" i="1"/>
  <c r="S827" i="1" s="1"/>
  <c r="R838" i="1"/>
  <c r="S838" i="1" s="1"/>
  <c r="R849" i="1"/>
  <c r="S849" i="1" s="1"/>
  <c r="R859" i="1"/>
  <c r="S859" i="1" s="1"/>
  <c r="R870" i="1"/>
  <c r="S870" i="1" s="1"/>
  <c r="R881" i="1"/>
  <c r="S881" i="1" s="1"/>
  <c r="R891" i="1"/>
  <c r="S891" i="1" s="1"/>
  <c r="R900" i="1"/>
  <c r="S900" i="1" s="1"/>
  <c r="R908" i="1"/>
  <c r="S908" i="1" s="1"/>
  <c r="R916" i="1"/>
  <c r="S916" i="1" s="1"/>
  <c r="R924" i="1"/>
  <c r="S924" i="1" s="1"/>
  <c r="R932" i="1"/>
  <c r="S932" i="1" s="1"/>
  <c r="R940" i="1"/>
  <c r="S940" i="1" s="1"/>
  <c r="R948" i="1"/>
  <c r="S948" i="1" s="1"/>
  <c r="R956" i="1"/>
  <c r="S956" i="1" s="1"/>
  <c r="R964" i="1"/>
  <c r="S964" i="1" s="1"/>
  <c r="R972" i="1"/>
  <c r="S972" i="1" s="1"/>
  <c r="R980" i="1"/>
  <c r="S980" i="1" s="1"/>
  <c r="R988" i="1"/>
  <c r="S988" i="1" s="1"/>
  <c r="R996" i="1"/>
  <c r="S996" i="1" s="1"/>
  <c r="R3" i="1"/>
  <c r="S3" i="1" s="1"/>
  <c r="R5" i="1"/>
  <c r="S5" i="1" s="1"/>
  <c r="R37" i="1"/>
  <c r="S37" i="1" s="1"/>
  <c r="R69" i="1"/>
  <c r="S69" i="1" s="1"/>
  <c r="R101" i="1"/>
  <c r="S101" i="1" s="1"/>
  <c r="R133" i="1"/>
  <c r="S133" i="1" s="1"/>
  <c r="R165" i="1"/>
  <c r="S165" i="1" s="1"/>
  <c r="R197" i="1"/>
  <c r="S197" i="1" s="1"/>
  <c r="R229" i="1"/>
  <c r="S229" i="1" s="1"/>
  <c r="R261" i="1"/>
  <c r="S261" i="1" s="1"/>
  <c r="R293" i="1"/>
  <c r="S293" i="1" s="1"/>
  <c r="R325" i="1"/>
  <c r="S325" i="1" s="1"/>
  <c r="R357" i="1"/>
  <c r="S357" i="1" s="1"/>
  <c r="R389" i="1"/>
  <c r="S389" i="1" s="1"/>
  <c r="R421" i="1"/>
  <c r="S421" i="1" s="1"/>
  <c r="R453" i="1"/>
  <c r="S453" i="1" s="1"/>
  <c r="R478" i="1"/>
  <c r="S478" i="1" s="1"/>
  <c r="R495" i="1"/>
  <c r="S495" i="1" s="1"/>
  <c r="R511" i="1"/>
  <c r="S511" i="1" s="1"/>
  <c r="R527" i="1"/>
  <c r="S527" i="1" s="1"/>
  <c r="R543" i="1"/>
  <c r="S543" i="1" s="1"/>
  <c r="R559" i="1"/>
  <c r="S559" i="1" s="1"/>
  <c r="R575" i="1"/>
  <c r="S575" i="1" s="1"/>
  <c r="R591" i="1"/>
  <c r="S591" i="1" s="1"/>
  <c r="R607" i="1"/>
  <c r="S607" i="1" s="1"/>
  <c r="R623" i="1"/>
  <c r="S623" i="1" s="1"/>
  <c r="R639" i="1"/>
  <c r="S639" i="1" s="1"/>
  <c r="R655" i="1"/>
  <c r="S655" i="1" s="1"/>
  <c r="R671" i="1"/>
  <c r="S671" i="1" s="1"/>
  <c r="R687" i="1"/>
  <c r="S687" i="1" s="1"/>
  <c r="R703" i="1"/>
  <c r="S703" i="1" s="1"/>
  <c r="R719" i="1"/>
  <c r="S719" i="1" s="1"/>
  <c r="R735" i="1"/>
  <c r="S735" i="1" s="1"/>
  <c r="R751" i="1"/>
  <c r="S751" i="1" s="1"/>
  <c r="R767" i="1"/>
  <c r="S767" i="1" s="1"/>
  <c r="R783" i="1"/>
  <c r="S783" i="1" s="1"/>
  <c r="R799" i="1"/>
  <c r="S799" i="1" s="1"/>
  <c r="R815" i="1"/>
  <c r="S815" i="1" s="1"/>
  <c r="R829" i="1"/>
  <c r="S829" i="1" s="1"/>
  <c r="R839" i="1"/>
  <c r="S839" i="1" s="1"/>
  <c r="R850" i="1"/>
  <c r="S850" i="1" s="1"/>
  <c r="R861" i="1"/>
  <c r="S861" i="1" s="1"/>
  <c r="R871" i="1"/>
  <c r="S871" i="1" s="1"/>
  <c r="R882" i="1"/>
  <c r="S882" i="1" s="1"/>
  <c r="R893" i="1"/>
  <c r="S893" i="1" s="1"/>
  <c r="R901" i="1"/>
  <c r="S901" i="1" s="1"/>
  <c r="R909" i="1"/>
  <c r="S909" i="1" s="1"/>
  <c r="R917" i="1"/>
  <c r="S917" i="1" s="1"/>
  <c r="R925" i="1"/>
  <c r="S925" i="1" s="1"/>
  <c r="R933" i="1"/>
  <c r="S933" i="1" s="1"/>
  <c r="R941" i="1"/>
  <c r="S941" i="1" s="1"/>
  <c r="R949" i="1"/>
  <c r="S949" i="1" s="1"/>
  <c r="R957" i="1"/>
  <c r="S957" i="1" s="1"/>
  <c r="R965" i="1"/>
  <c r="S965" i="1" s="1"/>
  <c r="R973" i="1"/>
  <c r="S973" i="1" s="1"/>
  <c r="R981" i="1"/>
  <c r="S981" i="1" s="1"/>
  <c r="R989" i="1"/>
  <c r="S989" i="1" s="1"/>
  <c r="R997" i="1"/>
  <c r="S997" i="1" s="1"/>
  <c r="R12" i="1"/>
  <c r="S12" i="1" s="1"/>
  <c r="R44" i="1"/>
  <c r="S44" i="1" s="1"/>
  <c r="R76" i="1"/>
  <c r="S76" i="1" s="1"/>
  <c r="R108" i="1"/>
  <c r="S108" i="1" s="1"/>
  <c r="R140" i="1"/>
  <c r="S140" i="1" s="1"/>
  <c r="R172" i="1"/>
  <c r="S172" i="1" s="1"/>
  <c r="R204" i="1"/>
  <c r="S204" i="1" s="1"/>
  <c r="R236" i="1"/>
  <c r="S236" i="1" s="1"/>
  <c r="R268" i="1"/>
  <c r="S268" i="1" s="1"/>
  <c r="R300" i="1"/>
  <c r="S300" i="1" s="1"/>
  <c r="R332" i="1"/>
  <c r="S332" i="1" s="1"/>
  <c r="R364" i="1"/>
  <c r="S364" i="1" s="1"/>
  <c r="R396" i="1"/>
  <c r="S396" i="1" s="1"/>
  <c r="R428" i="1"/>
  <c r="S428" i="1" s="1"/>
  <c r="R460" i="1"/>
  <c r="S460" i="1" s="1"/>
  <c r="R481" i="1"/>
  <c r="S481" i="1" s="1"/>
  <c r="R498" i="1"/>
  <c r="S498" i="1" s="1"/>
  <c r="R514" i="1"/>
  <c r="S514" i="1" s="1"/>
  <c r="R530" i="1"/>
  <c r="S530" i="1" s="1"/>
  <c r="R546" i="1"/>
  <c r="S546" i="1" s="1"/>
  <c r="R562" i="1"/>
  <c r="S562" i="1" s="1"/>
  <c r="R578" i="1"/>
  <c r="S578" i="1" s="1"/>
  <c r="R594" i="1"/>
  <c r="S594" i="1" s="1"/>
  <c r="R610" i="1"/>
  <c r="S610" i="1" s="1"/>
  <c r="R626" i="1"/>
  <c r="S626" i="1" s="1"/>
  <c r="R642" i="1"/>
  <c r="S642" i="1" s="1"/>
  <c r="R658" i="1"/>
  <c r="S658" i="1" s="1"/>
  <c r="R674" i="1"/>
  <c r="S674" i="1" s="1"/>
  <c r="R690" i="1"/>
  <c r="S690" i="1" s="1"/>
  <c r="R706" i="1"/>
  <c r="S706" i="1" s="1"/>
  <c r="R722" i="1"/>
  <c r="S722" i="1" s="1"/>
  <c r="R738" i="1"/>
  <c r="S738" i="1" s="1"/>
  <c r="R754" i="1"/>
  <c r="S754" i="1" s="1"/>
  <c r="R770" i="1"/>
  <c r="S770" i="1" s="1"/>
  <c r="R786" i="1"/>
  <c r="S786" i="1" s="1"/>
  <c r="R802" i="1"/>
  <c r="S802" i="1" s="1"/>
  <c r="R818" i="1"/>
  <c r="S818" i="1" s="1"/>
  <c r="R830" i="1"/>
  <c r="S830" i="1" s="1"/>
  <c r="R841" i="1"/>
  <c r="S841" i="1" s="1"/>
  <c r="R851" i="1"/>
  <c r="S851" i="1" s="1"/>
  <c r="R862" i="1"/>
  <c r="S862" i="1" s="1"/>
  <c r="R873" i="1"/>
  <c r="S873" i="1" s="1"/>
  <c r="R883" i="1"/>
  <c r="S883" i="1" s="1"/>
  <c r="R894" i="1"/>
  <c r="S894" i="1" s="1"/>
  <c r="R902" i="1"/>
  <c r="S902" i="1" s="1"/>
  <c r="R910" i="1"/>
  <c r="S910" i="1" s="1"/>
  <c r="R918" i="1"/>
  <c r="S918" i="1" s="1"/>
  <c r="R926" i="1"/>
  <c r="S926" i="1" s="1"/>
  <c r="R934" i="1"/>
  <c r="S934" i="1" s="1"/>
  <c r="R942" i="1"/>
  <c r="S942" i="1" s="1"/>
  <c r="R950" i="1"/>
  <c r="S950" i="1" s="1"/>
  <c r="R958" i="1"/>
  <c r="S958" i="1" s="1"/>
  <c r="R966" i="1"/>
  <c r="S966" i="1" s="1"/>
  <c r="R974" i="1"/>
  <c r="S974" i="1" s="1"/>
  <c r="R982" i="1"/>
  <c r="S982" i="1" s="1"/>
  <c r="R990" i="1"/>
  <c r="S990" i="1" s="1"/>
  <c r="R998" i="1"/>
  <c r="S998" i="1" s="1"/>
  <c r="R13" i="1"/>
  <c r="S13" i="1" s="1"/>
  <c r="R45" i="1"/>
  <c r="S45" i="1" s="1"/>
  <c r="R77" i="1"/>
  <c r="S77" i="1" s="1"/>
  <c r="R109" i="1"/>
  <c r="S109" i="1" s="1"/>
  <c r="R141" i="1"/>
  <c r="S141" i="1" s="1"/>
  <c r="R173" i="1"/>
  <c r="S173" i="1" s="1"/>
  <c r="R205" i="1"/>
  <c r="S205" i="1" s="1"/>
  <c r="R237" i="1"/>
  <c r="S237" i="1" s="1"/>
  <c r="R269" i="1"/>
  <c r="S269" i="1" s="1"/>
  <c r="R301" i="1"/>
  <c r="S301" i="1" s="1"/>
  <c r="R333" i="1"/>
  <c r="S333" i="1" s="1"/>
  <c r="R365" i="1"/>
  <c r="S365" i="1" s="1"/>
  <c r="R397" i="1"/>
  <c r="S397" i="1" s="1"/>
  <c r="R429" i="1"/>
  <c r="S429" i="1" s="1"/>
  <c r="R461" i="1"/>
  <c r="S461" i="1" s="1"/>
  <c r="R483" i="1"/>
  <c r="S483" i="1" s="1"/>
  <c r="R499" i="1"/>
  <c r="S499" i="1" s="1"/>
  <c r="R515" i="1"/>
  <c r="S515" i="1" s="1"/>
  <c r="R531" i="1"/>
  <c r="S531" i="1" s="1"/>
  <c r="R547" i="1"/>
  <c r="S547" i="1" s="1"/>
  <c r="R563" i="1"/>
  <c r="S563" i="1" s="1"/>
  <c r="R579" i="1"/>
  <c r="S579" i="1" s="1"/>
  <c r="R595" i="1"/>
  <c r="S595" i="1" s="1"/>
  <c r="R611" i="1"/>
  <c r="S611" i="1" s="1"/>
  <c r="R627" i="1"/>
  <c r="S627" i="1" s="1"/>
  <c r="R643" i="1"/>
  <c r="S643" i="1" s="1"/>
  <c r="R659" i="1"/>
  <c r="S659" i="1" s="1"/>
  <c r="R675" i="1"/>
  <c r="S675" i="1" s="1"/>
  <c r="R691" i="1"/>
  <c r="S691" i="1" s="1"/>
  <c r="R707" i="1"/>
  <c r="S707" i="1" s="1"/>
  <c r="R723" i="1"/>
  <c r="S723" i="1" s="1"/>
  <c r="R739" i="1"/>
  <c r="S739" i="1" s="1"/>
  <c r="R755" i="1"/>
  <c r="S755" i="1" s="1"/>
  <c r="R771" i="1"/>
  <c r="S771" i="1" s="1"/>
  <c r="R787" i="1"/>
  <c r="S787" i="1" s="1"/>
  <c r="R803" i="1"/>
  <c r="S803" i="1" s="1"/>
  <c r="R819" i="1"/>
  <c r="S819" i="1" s="1"/>
  <c r="R831" i="1"/>
  <c r="S831" i="1" s="1"/>
  <c r="R842" i="1"/>
  <c r="S842" i="1" s="1"/>
  <c r="R853" i="1"/>
  <c r="S853" i="1" s="1"/>
  <c r="R863" i="1"/>
  <c r="S863" i="1" s="1"/>
  <c r="R874" i="1"/>
  <c r="S874" i="1" s="1"/>
  <c r="R885" i="1"/>
  <c r="S885" i="1" s="1"/>
  <c r="R895" i="1"/>
  <c r="S895" i="1" s="1"/>
  <c r="R903" i="1"/>
  <c r="S903" i="1" s="1"/>
  <c r="R911" i="1"/>
  <c r="S911" i="1" s="1"/>
  <c r="R919" i="1"/>
  <c r="S919" i="1" s="1"/>
  <c r="R927" i="1"/>
  <c r="S927" i="1" s="1"/>
  <c r="R935" i="1"/>
  <c r="S935" i="1" s="1"/>
  <c r="R943" i="1"/>
  <c r="S943" i="1" s="1"/>
  <c r="R951" i="1"/>
  <c r="S951" i="1" s="1"/>
  <c r="R959" i="1"/>
  <c r="S959" i="1" s="1"/>
  <c r="R967" i="1"/>
  <c r="S967" i="1" s="1"/>
  <c r="R975" i="1"/>
  <c r="S975" i="1" s="1"/>
  <c r="R983" i="1"/>
  <c r="S983" i="1" s="1"/>
  <c r="R991" i="1"/>
  <c r="S991" i="1" s="1"/>
  <c r="R999" i="1"/>
  <c r="S999" i="1" s="1"/>
  <c r="R20" i="1"/>
  <c r="S20" i="1" s="1"/>
  <c r="R52" i="1"/>
  <c r="S52" i="1" s="1"/>
  <c r="R84" i="1"/>
  <c r="S84" i="1" s="1"/>
  <c r="R116" i="1"/>
  <c r="S116" i="1" s="1"/>
  <c r="R148" i="1"/>
  <c r="S148" i="1" s="1"/>
  <c r="R180" i="1"/>
  <c r="S180" i="1" s="1"/>
  <c r="R212" i="1"/>
  <c r="S212" i="1" s="1"/>
  <c r="R244" i="1"/>
  <c r="S244" i="1" s="1"/>
  <c r="R276" i="1"/>
  <c r="S276" i="1" s="1"/>
  <c r="R308" i="1"/>
  <c r="S308" i="1" s="1"/>
  <c r="R340" i="1"/>
  <c r="S340" i="1" s="1"/>
  <c r="R372" i="1"/>
  <c r="S372" i="1" s="1"/>
  <c r="R404" i="1"/>
  <c r="S404" i="1" s="1"/>
  <c r="R436" i="1"/>
  <c r="S436" i="1" s="1"/>
  <c r="R468" i="1"/>
  <c r="S468" i="1" s="1"/>
  <c r="R486" i="1"/>
  <c r="S486" i="1" s="1"/>
  <c r="R502" i="1"/>
  <c r="S502" i="1" s="1"/>
  <c r="R518" i="1"/>
  <c r="S518" i="1" s="1"/>
  <c r="R534" i="1"/>
  <c r="S534" i="1" s="1"/>
  <c r="R550" i="1"/>
  <c r="S550" i="1" s="1"/>
  <c r="R566" i="1"/>
  <c r="S566" i="1" s="1"/>
  <c r="R582" i="1"/>
  <c r="S582" i="1" s="1"/>
  <c r="R598" i="1"/>
  <c r="S598" i="1" s="1"/>
  <c r="R614" i="1"/>
  <c r="S614" i="1" s="1"/>
  <c r="R630" i="1"/>
  <c r="S630" i="1" s="1"/>
  <c r="R646" i="1"/>
  <c r="S646" i="1" s="1"/>
  <c r="R662" i="1"/>
  <c r="S662" i="1" s="1"/>
  <c r="R678" i="1"/>
  <c r="S678" i="1" s="1"/>
  <c r="R694" i="1"/>
  <c r="S694" i="1" s="1"/>
  <c r="R710" i="1"/>
  <c r="S710" i="1" s="1"/>
  <c r="R726" i="1"/>
  <c r="S726" i="1" s="1"/>
  <c r="R742" i="1"/>
  <c r="S742" i="1" s="1"/>
  <c r="R758" i="1"/>
  <c r="S758" i="1" s="1"/>
  <c r="R774" i="1"/>
  <c r="S774" i="1" s="1"/>
  <c r="R790" i="1"/>
  <c r="S790" i="1" s="1"/>
  <c r="R806" i="1"/>
  <c r="S806" i="1" s="1"/>
  <c r="R822" i="1"/>
  <c r="S822" i="1" s="1"/>
  <c r="R833" i="1"/>
  <c r="S833" i="1" s="1"/>
  <c r="R843" i="1"/>
  <c r="S843" i="1" s="1"/>
  <c r="R854" i="1"/>
  <c r="S854" i="1" s="1"/>
  <c r="R865" i="1"/>
  <c r="S865" i="1" s="1"/>
  <c r="R875" i="1"/>
  <c r="S875" i="1" s="1"/>
  <c r="R886" i="1"/>
  <c r="S886" i="1" s="1"/>
  <c r="R896" i="1"/>
  <c r="S896" i="1" s="1"/>
  <c r="R904" i="1"/>
  <c r="S904" i="1" s="1"/>
  <c r="R912" i="1"/>
  <c r="S912" i="1" s="1"/>
  <c r="R920" i="1"/>
  <c r="S920" i="1" s="1"/>
  <c r="R928" i="1"/>
  <c r="S928" i="1" s="1"/>
  <c r="R936" i="1"/>
  <c r="S936" i="1" s="1"/>
  <c r="R944" i="1"/>
  <c r="S944" i="1" s="1"/>
  <c r="R952" i="1"/>
  <c r="S952" i="1" s="1"/>
  <c r="R960" i="1"/>
  <c r="S960" i="1" s="1"/>
  <c r="R968" i="1"/>
  <c r="S968" i="1" s="1"/>
  <c r="R976" i="1"/>
  <c r="S976" i="1" s="1"/>
  <c r="R984" i="1"/>
  <c r="S984" i="1" s="1"/>
  <c r="R992" i="1"/>
  <c r="S992" i="1" s="1"/>
  <c r="R1000" i="1"/>
  <c r="S1000" i="1" s="1"/>
  <c r="R21" i="1"/>
  <c r="S21" i="1" s="1"/>
  <c r="R53" i="1"/>
  <c r="S53" i="1" s="1"/>
  <c r="R85" i="1"/>
  <c r="S85" i="1" s="1"/>
  <c r="R117" i="1"/>
  <c r="S117" i="1" s="1"/>
  <c r="R149" i="1"/>
  <c r="S149" i="1" s="1"/>
  <c r="R181" i="1"/>
  <c r="S181" i="1" s="1"/>
  <c r="R213" i="1"/>
  <c r="S213" i="1" s="1"/>
  <c r="R245" i="1"/>
  <c r="S245" i="1" s="1"/>
  <c r="R277" i="1"/>
  <c r="S277" i="1" s="1"/>
  <c r="R309" i="1"/>
  <c r="S309" i="1" s="1"/>
  <c r="R341" i="1"/>
  <c r="S341" i="1" s="1"/>
  <c r="R373" i="1"/>
  <c r="S373" i="1" s="1"/>
  <c r="R405" i="1"/>
  <c r="S405" i="1" s="1"/>
  <c r="R437" i="1"/>
  <c r="S437" i="1" s="1"/>
  <c r="R469" i="1"/>
  <c r="S469" i="1" s="1"/>
  <c r="R487" i="1"/>
  <c r="S487" i="1" s="1"/>
  <c r="R503" i="1"/>
  <c r="S503" i="1" s="1"/>
  <c r="R519" i="1"/>
  <c r="S519" i="1" s="1"/>
  <c r="R535" i="1"/>
  <c r="S535" i="1" s="1"/>
  <c r="R551" i="1"/>
  <c r="S551" i="1" s="1"/>
  <c r="R567" i="1"/>
  <c r="S567" i="1" s="1"/>
  <c r="R583" i="1"/>
  <c r="S583" i="1" s="1"/>
  <c r="R599" i="1"/>
  <c r="S599" i="1" s="1"/>
  <c r="R615" i="1"/>
  <c r="S615" i="1" s="1"/>
  <c r="R631" i="1"/>
  <c r="S631" i="1" s="1"/>
  <c r="R647" i="1"/>
  <c r="S647" i="1" s="1"/>
  <c r="R663" i="1"/>
  <c r="S663" i="1" s="1"/>
  <c r="R679" i="1"/>
  <c r="S679" i="1" s="1"/>
  <c r="R695" i="1"/>
  <c r="S695" i="1" s="1"/>
  <c r="R711" i="1"/>
  <c r="S711" i="1" s="1"/>
  <c r="R727" i="1"/>
  <c r="S727" i="1" s="1"/>
  <c r="R743" i="1"/>
  <c r="S743" i="1" s="1"/>
  <c r="R759" i="1"/>
  <c r="S759" i="1" s="1"/>
  <c r="R775" i="1"/>
  <c r="S775" i="1" s="1"/>
  <c r="R791" i="1"/>
  <c r="S791" i="1" s="1"/>
  <c r="R807" i="1"/>
  <c r="S807" i="1" s="1"/>
  <c r="R823" i="1"/>
  <c r="S823" i="1" s="1"/>
  <c r="R834" i="1"/>
  <c r="S834" i="1" s="1"/>
  <c r="R845" i="1"/>
  <c r="S845" i="1" s="1"/>
  <c r="R855" i="1"/>
  <c r="S855" i="1" s="1"/>
  <c r="R866" i="1"/>
  <c r="S866" i="1" s="1"/>
  <c r="R877" i="1"/>
  <c r="S877" i="1" s="1"/>
  <c r="R887" i="1"/>
  <c r="S887" i="1" s="1"/>
  <c r="R897" i="1"/>
  <c r="S897" i="1" s="1"/>
  <c r="R905" i="1"/>
  <c r="S905" i="1" s="1"/>
  <c r="R913" i="1"/>
  <c r="S913" i="1" s="1"/>
  <c r="R921" i="1"/>
  <c r="S921" i="1" s="1"/>
  <c r="R929" i="1"/>
  <c r="S929" i="1" s="1"/>
  <c r="R937" i="1"/>
  <c r="S937" i="1" s="1"/>
  <c r="R945" i="1"/>
  <c r="S945" i="1" s="1"/>
  <c r="R953" i="1"/>
  <c r="S953" i="1" s="1"/>
  <c r="R961" i="1"/>
  <c r="S961" i="1" s="1"/>
  <c r="R969" i="1"/>
  <c r="S969" i="1" s="1"/>
  <c r="R977" i="1"/>
  <c r="S977" i="1" s="1"/>
  <c r="R985" i="1"/>
  <c r="S985" i="1" s="1"/>
  <c r="R993" i="1"/>
  <c r="S993" i="1" s="1"/>
  <c r="R1001" i="1"/>
  <c r="S1001" i="1" s="1"/>
  <c r="Q4" i="1"/>
  <c r="Q12" i="1"/>
  <c r="Q20" i="1"/>
  <c r="Q28" i="1"/>
  <c r="Q36" i="1"/>
  <c r="Q44" i="1"/>
  <c r="Q52" i="1"/>
  <c r="Q6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6" i="1"/>
  <c r="Q14" i="1"/>
  <c r="Q22" i="1"/>
  <c r="Q30" i="1"/>
  <c r="Q38" i="1"/>
  <c r="Q46" i="1"/>
  <c r="Q54" i="1"/>
  <c r="Q62" i="1"/>
  <c r="Q70" i="1"/>
  <c r="Q78" i="1"/>
  <c r="Q86" i="1"/>
  <c r="Q94" i="1"/>
  <c r="Q102" i="1"/>
  <c r="Q110" i="1"/>
  <c r="Q118" i="1"/>
  <c r="Q126" i="1"/>
  <c r="Q134" i="1"/>
  <c r="Q142" i="1"/>
  <c r="Q150" i="1"/>
  <c r="Q158" i="1"/>
  <c r="Q166" i="1"/>
  <c r="Q174" i="1"/>
  <c r="Q182" i="1"/>
  <c r="Q190" i="1"/>
  <c r="Q198" i="1"/>
  <c r="Q206" i="1"/>
  <c r="Q214" i="1"/>
  <c r="Q222" i="1"/>
  <c r="Q230" i="1"/>
  <c r="Q238" i="1"/>
  <c r="Q246" i="1"/>
  <c r="Q254" i="1"/>
  <c r="Q262" i="1"/>
  <c r="Q270" i="1"/>
  <c r="Q278" i="1"/>
  <c r="Q286" i="1"/>
  <c r="Q294" i="1"/>
  <c r="Q302" i="1"/>
  <c r="Q310" i="1"/>
  <c r="Q318" i="1"/>
  <c r="Q326" i="1"/>
  <c r="Q334" i="1"/>
  <c r="Q342" i="1"/>
  <c r="Q350" i="1"/>
  <c r="Q358" i="1"/>
  <c r="Q366" i="1"/>
  <c r="Q374" i="1"/>
  <c r="Q382" i="1"/>
  <c r="Q390" i="1"/>
  <c r="Q398" i="1"/>
  <c r="Q406" i="1"/>
  <c r="Q414" i="1"/>
  <c r="Q422" i="1"/>
  <c r="Q430" i="1"/>
  <c r="Q438" i="1"/>
  <c r="Q446" i="1"/>
  <c r="Q454" i="1"/>
  <c r="Q462" i="1"/>
  <c r="Q470" i="1"/>
  <c r="Q478" i="1"/>
  <c r="Q486" i="1"/>
  <c r="Q494" i="1"/>
  <c r="Q502" i="1"/>
  <c r="Q510" i="1"/>
  <c r="Q518" i="1"/>
  <c r="Q526" i="1"/>
  <c r="Q534" i="1"/>
  <c r="Q542" i="1"/>
  <c r="Q550" i="1"/>
  <c r="Q558" i="1"/>
  <c r="Q566" i="1"/>
  <c r="Q574" i="1"/>
  <c r="Q582" i="1"/>
  <c r="Q590" i="1"/>
  <c r="Q598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87" i="1"/>
  <c r="Q495" i="1"/>
  <c r="Q503" i="1"/>
  <c r="Q511" i="1"/>
  <c r="Q519" i="1"/>
  <c r="Q527" i="1"/>
  <c r="Q535" i="1"/>
  <c r="Q543" i="1"/>
  <c r="Q551" i="1"/>
  <c r="Q559" i="1"/>
  <c r="Q567" i="1"/>
  <c r="Q575" i="1"/>
  <c r="Q583" i="1"/>
  <c r="Q591" i="1"/>
  <c r="Q599" i="1"/>
  <c r="Q607" i="1"/>
  <c r="Q615" i="1"/>
  <c r="Q623" i="1"/>
  <c r="Q8" i="1"/>
  <c r="Q16" i="1"/>
  <c r="Q24" i="1"/>
  <c r="Q32" i="1"/>
  <c r="Q40" i="1"/>
  <c r="Q48" i="1"/>
  <c r="Q56" i="1"/>
  <c r="Q64" i="1"/>
  <c r="Q72" i="1"/>
  <c r="Q80" i="1"/>
  <c r="Q88" i="1"/>
  <c r="Q96" i="1"/>
  <c r="Q104" i="1"/>
  <c r="Q112" i="1"/>
  <c r="Q120" i="1"/>
  <c r="Q128" i="1"/>
  <c r="Q136" i="1"/>
  <c r="Q144" i="1"/>
  <c r="Q152" i="1"/>
  <c r="Q160" i="1"/>
  <c r="Q168" i="1"/>
  <c r="Q10" i="1"/>
  <c r="Q18" i="1"/>
  <c r="Q26" i="1"/>
  <c r="Q34" i="1"/>
  <c r="Q42" i="1"/>
  <c r="Q50" i="1"/>
  <c r="Q58" i="1"/>
  <c r="Q66" i="1"/>
  <c r="Q74" i="1"/>
  <c r="Q82" i="1"/>
  <c r="Q90" i="1"/>
  <c r="Q98" i="1"/>
  <c r="Q106" i="1"/>
  <c r="Q114" i="1"/>
  <c r="Q122" i="1"/>
  <c r="Q130" i="1"/>
  <c r="Q138" i="1"/>
  <c r="Q146" i="1"/>
  <c r="Q154" i="1"/>
  <c r="Q162" i="1"/>
  <c r="Q170" i="1"/>
  <c r="Q178" i="1"/>
  <c r="Q186" i="1"/>
  <c r="Q194" i="1"/>
  <c r="Q202" i="1"/>
  <c r="Q210" i="1"/>
  <c r="Q218" i="1"/>
  <c r="Q226" i="1"/>
  <c r="Q234" i="1"/>
  <c r="Q242" i="1"/>
  <c r="Q250" i="1"/>
  <c r="Q258" i="1"/>
  <c r="Q266" i="1"/>
  <c r="Q274" i="1"/>
  <c r="Q282" i="1"/>
  <c r="Q290" i="1"/>
  <c r="Q298" i="1"/>
  <c r="Q306" i="1"/>
  <c r="Q314" i="1"/>
  <c r="Q322" i="1"/>
  <c r="Q330" i="1"/>
  <c r="Q338" i="1"/>
  <c r="Q346" i="1"/>
  <c r="Q354" i="1"/>
  <c r="Q362" i="1"/>
  <c r="Q370" i="1"/>
  <c r="Q378" i="1"/>
  <c r="Q386" i="1"/>
  <c r="Q394" i="1"/>
  <c r="Q402" i="1"/>
  <c r="Q410" i="1"/>
  <c r="Q418" i="1"/>
  <c r="Q426" i="1"/>
  <c r="Q434" i="1"/>
  <c r="Q442" i="1"/>
  <c r="Q450" i="1"/>
  <c r="Q458" i="1"/>
  <c r="Q466" i="1"/>
  <c r="Q474" i="1"/>
  <c r="Q482" i="1"/>
  <c r="Q490" i="1"/>
  <c r="Q498" i="1"/>
  <c r="Q506" i="1"/>
  <c r="Q514" i="1"/>
  <c r="Q522" i="1"/>
  <c r="Q530" i="1"/>
  <c r="Q538" i="1"/>
  <c r="Q546" i="1"/>
  <c r="Q554" i="1"/>
  <c r="Q562" i="1"/>
  <c r="Q570" i="1"/>
  <c r="Q578" i="1"/>
  <c r="Q586" i="1"/>
  <c r="Q594" i="1"/>
  <c r="Q602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7" i="1"/>
  <c r="Q475" i="1"/>
  <c r="Q483" i="1"/>
  <c r="Q491" i="1"/>
  <c r="Q499" i="1"/>
  <c r="Q507" i="1"/>
  <c r="Q515" i="1"/>
  <c r="Q523" i="1"/>
  <c r="Q531" i="1"/>
  <c r="Q539" i="1"/>
  <c r="Q547" i="1"/>
  <c r="Q555" i="1"/>
  <c r="Q563" i="1"/>
  <c r="Q571" i="1"/>
  <c r="Q579" i="1"/>
  <c r="Q587" i="1"/>
  <c r="Q595" i="1"/>
  <c r="Q603" i="1"/>
  <c r="Q611" i="1"/>
  <c r="Q619" i="1"/>
  <c r="Q627" i="1"/>
  <c r="Q33" i="1"/>
  <c r="Q65" i="1"/>
  <c r="Q97" i="1"/>
  <c r="Q129" i="1"/>
  <c r="Q161" i="1"/>
  <c r="Q181" i="1"/>
  <c r="Q197" i="1"/>
  <c r="Q213" i="1"/>
  <c r="Q229" i="1"/>
  <c r="Q245" i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501" i="1"/>
  <c r="Q517" i="1"/>
  <c r="Q533" i="1"/>
  <c r="Q549" i="1"/>
  <c r="Q565" i="1"/>
  <c r="Q581" i="1"/>
  <c r="Q597" i="1"/>
  <c r="Q610" i="1"/>
  <c r="Q621" i="1"/>
  <c r="Q631" i="1"/>
  <c r="Q639" i="1"/>
  <c r="Q647" i="1"/>
  <c r="Q655" i="1"/>
  <c r="Q663" i="1"/>
  <c r="Q671" i="1"/>
  <c r="Q679" i="1"/>
  <c r="Q687" i="1"/>
  <c r="Q695" i="1"/>
  <c r="Q703" i="1"/>
  <c r="Q711" i="1"/>
  <c r="Q719" i="1"/>
  <c r="Q727" i="1"/>
  <c r="Q735" i="1"/>
  <c r="Q743" i="1"/>
  <c r="Q751" i="1"/>
  <c r="Q759" i="1"/>
  <c r="Q767" i="1"/>
  <c r="Q775" i="1"/>
  <c r="Q783" i="1"/>
  <c r="Q791" i="1"/>
  <c r="Q799" i="1"/>
  <c r="Q807" i="1"/>
  <c r="Q815" i="1"/>
  <c r="Q823" i="1"/>
  <c r="Q831" i="1"/>
  <c r="Q839" i="1"/>
  <c r="Q847" i="1"/>
  <c r="Q855" i="1"/>
  <c r="Q863" i="1"/>
  <c r="Q871" i="1"/>
  <c r="Q879" i="1"/>
  <c r="Q887" i="1"/>
  <c r="Q895" i="1"/>
  <c r="Q903" i="1"/>
  <c r="Q911" i="1"/>
  <c r="Q919" i="1"/>
  <c r="Q927" i="1"/>
  <c r="Q935" i="1"/>
  <c r="Q943" i="1"/>
  <c r="Q951" i="1"/>
  <c r="Q959" i="1"/>
  <c r="Q967" i="1"/>
  <c r="Q975" i="1"/>
  <c r="Q983" i="1"/>
  <c r="Q991" i="1"/>
  <c r="Q999" i="1"/>
  <c r="Q5" i="1"/>
  <c r="Q37" i="1"/>
  <c r="Q69" i="1"/>
  <c r="Q101" i="1"/>
  <c r="Q133" i="1"/>
  <c r="Q165" i="1"/>
  <c r="Q184" i="1"/>
  <c r="Q200" i="1"/>
  <c r="Q216" i="1"/>
  <c r="Q232" i="1"/>
  <c r="Q248" i="1"/>
  <c r="Q264" i="1"/>
  <c r="Q280" i="1"/>
  <c r="Q296" i="1"/>
  <c r="Q312" i="1"/>
  <c r="Q328" i="1"/>
  <c r="Q344" i="1"/>
  <c r="Q360" i="1"/>
  <c r="Q376" i="1"/>
  <c r="Q392" i="1"/>
  <c r="Q408" i="1"/>
  <c r="Q424" i="1"/>
  <c r="Q440" i="1"/>
  <c r="Q456" i="1"/>
  <c r="Q472" i="1"/>
  <c r="Q488" i="1"/>
  <c r="Q504" i="1"/>
  <c r="Q520" i="1"/>
  <c r="Q536" i="1"/>
  <c r="Q552" i="1"/>
  <c r="Q568" i="1"/>
  <c r="Q584" i="1"/>
  <c r="Q600" i="1"/>
  <c r="Q612" i="1"/>
  <c r="Q622" i="1"/>
  <c r="Q632" i="1"/>
  <c r="Q640" i="1"/>
  <c r="Q648" i="1"/>
  <c r="Q656" i="1"/>
  <c r="Q664" i="1"/>
  <c r="Q672" i="1"/>
  <c r="Q680" i="1"/>
  <c r="Q688" i="1"/>
  <c r="Q696" i="1"/>
  <c r="Q704" i="1"/>
  <c r="Q712" i="1"/>
  <c r="Q720" i="1"/>
  <c r="Q728" i="1"/>
  <c r="Q736" i="1"/>
  <c r="Q744" i="1"/>
  <c r="Q752" i="1"/>
  <c r="Q760" i="1"/>
  <c r="Q768" i="1"/>
  <c r="Q776" i="1"/>
  <c r="Q784" i="1"/>
  <c r="Q792" i="1"/>
  <c r="Q800" i="1"/>
  <c r="Q808" i="1"/>
  <c r="Q816" i="1"/>
  <c r="Q824" i="1"/>
  <c r="Q832" i="1"/>
  <c r="Q840" i="1"/>
  <c r="Q848" i="1"/>
  <c r="Q856" i="1"/>
  <c r="Q864" i="1"/>
  <c r="Q872" i="1"/>
  <c r="Q880" i="1"/>
  <c r="Q888" i="1"/>
  <c r="Q896" i="1"/>
  <c r="Q904" i="1"/>
  <c r="Q912" i="1"/>
  <c r="Q920" i="1"/>
  <c r="Q928" i="1"/>
  <c r="Q936" i="1"/>
  <c r="Q944" i="1"/>
  <c r="Q952" i="1"/>
  <c r="Q960" i="1"/>
  <c r="Q968" i="1"/>
  <c r="Q976" i="1"/>
  <c r="Q984" i="1"/>
  <c r="Q992" i="1"/>
  <c r="Q1000" i="1"/>
  <c r="Q9" i="1"/>
  <c r="Q41" i="1"/>
  <c r="Q73" i="1"/>
  <c r="Q105" i="1"/>
  <c r="Q137" i="1"/>
  <c r="Q169" i="1"/>
  <c r="Q185" i="1"/>
  <c r="Q201" i="1"/>
  <c r="Q217" i="1"/>
  <c r="Q233" i="1"/>
  <c r="Q249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505" i="1"/>
  <c r="Q521" i="1"/>
  <c r="Q537" i="1"/>
  <c r="Q553" i="1"/>
  <c r="Q569" i="1"/>
  <c r="Q585" i="1"/>
  <c r="Q601" i="1"/>
  <c r="Q613" i="1"/>
  <c r="Q624" i="1"/>
  <c r="Q633" i="1"/>
  <c r="Q641" i="1"/>
  <c r="Q649" i="1"/>
  <c r="Q657" i="1"/>
  <c r="Q665" i="1"/>
  <c r="Q673" i="1"/>
  <c r="Q681" i="1"/>
  <c r="Q689" i="1"/>
  <c r="Q697" i="1"/>
  <c r="Q705" i="1"/>
  <c r="Q713" i="1"/>
  <c r="Q721" i="1"/>
  <c r="Q729" i="1"/>
  <c r="Q737" i="1"/>
  <c r="Q745" i="1"/>
  <c r="Q753" i="1"/>
  <c r="Q761" i="1"/>
  <c r="Q769" i="1"/>
  <c r="Q777" i="1"/>
  <c r="Q785" i="1"/>
  <c r="Q793" i="1"/>
  <c r="Q801" i="1"/>
  <c r="Q809" i="1"/>
  <c r="Q817" i="1"/>
  <c r="Q825" i="1"/>
  <c r="Q833" i="1"/>
  <c r="Q841" i="1"/>
  <c r="Q849" i="1"/>
  <c r="Q857" i="1"/>
  <c r="Q865" i="1"/>
  <c r="Q873" i="1"/>
  <c r="Q881" i="1"/>
  <c r="Q889" i="1"/>
  <c r="Q897" i="1"/>
  <c r="Q905" i="1"/>
  <c r="Q913" i="1"/>
  <c r="Q921" i="1"/>
  <c r="Q929" i="1"/>
  <c r="Q937" i="1"/>
  <c r="Q945" i="1"/>
  <c r="Q953" i="1"/>
  <c r="Q961" i="1"/>
  <c r="Q969" i="1"/>
  <c r="Q977" i="1"/>
  <c r="Q985" i="1"/>
  <c r="Q993" i="1"/>
  <c r="Q1001" i="1"/>
  <c r="Q13" i="1"/>
  <c r="Q45" i="1"/>
  <c r="Q77" i="1"/>
  <c r="Q109" i="1"/>
  <c r="Q141" i="1"/>
  <c r="Q172" i="1"/>
  <c r="Q188" i="1"/>
  <c r="Q204" i="1"/>
  <c r="Q220" i="1"/>
  <c r="Q236" i="1"/>
  <c r="Q252" i="1"/>
  <c r="Q268" i="1"/>
  <c r="Q284" i="1"/>
  <c r="Q300" i="1"/>
  <c r="Q316" i="1"/>
  <c r="Q332" i="1"/>
  <c r="Q348" i="1"/>
  <c r="Q364" i="1"/>
  <c r="Q380" i="1"/>
  <c r="Q396" i="1"/>
  <c r="Q412" i="1"/>
  <c r="Q428" i="1"/>
  <c r="Q444" i="1"/>
  <c r="Q460" i="1"/>
  <c r="Q476" i="1"/>
  <c r="Q492" i="1"/>
  <c r="Q508" i="1"/>
  <c r="Q524" i="1"/>
  <c r="Q540" i="1"/>
  <c r="Q556" i="1"/>
  <c r="Q572" i="1"/>
  <c r="Q588" i="1"/>
  <c r="Q604" i="1"/>
  <c r="Q614" i="1"/>
  <c r="Q625" i="1"/>
  <c r="Q634" i="1"/>
  <c r="Q642" i="1"/>
  <c r="Q650" i="1"/>
  <c r="Q658" i="1"/>
  <c r="Q666" i="1"/>
  <c r="Q674" i="1"/>
  <c r="Q682" i="1"/>
  <c r="Q690" i="1"/>
  <c r="Q698" i="1"/>
  <c r="Q706" i="1"/>
  <c r="Q714" i="1"/>
  <c r="Q722" i="1"/>
  <c r="Q730" i="1"/>
  <c r="Q738" i="1"/>
  <c r="Q746" i="1"/>
  <c r="Q754" i="1"/>
  <c r="Q762" i="1"/>
  <c r="Q770" i="1"/>
  <c r="Q778" i="1"/>
  <c r="Q786" i="1"/>
  <c r="Q794" i="1"/>
  <c r="Q802" i="1"/>
  <c r="Q810" i="1"/>
  <c r="Q818" i="1"/>
  <c r="Q826" i="1"/>
  <c r="Q834" i="1"/>
  <c r="Q842" i="1"/>
  <c r="Q850" i="1"/>
  <c r="Q858" i="1"/>
  <c r="Q866" i="1"/>
  <c r="Q874" i="1"/>
  <c r="Q882" i="1"/>
  <c r="Q890" i="1"/>
  <c r="Q898" i="1"/>
  <c r="Q906" i="1"/>
  <c r="Q914" i="1"/>
  <c r="Q922" i="1"/>
  <c r="Q930" i="1"/>
  <c r="Q938" i="1"/>
  <c r="Q946" i="1"/>
  <c r="Q954" i="1"/>
  <c r="Q962" i="1"/>
  <c r="Q970" i="1"/>
  <c r="Q978" i="1"/>
  <c r="Q986" i="1"/>
  <c r="Q994" i="1"/>
  <c r="Q1002" i="1"/>
  <c r="Q17" i="1"/>
  <c r="Q49" i="1"/>
  <c r="Q81" i="1"/>
  <c r="Q113" i="1"/>
  <c r="Q145" i="1"/>
  <c r="Q173" i="1"/>
  <c r="Q189" i="1"/>
  <c r="Q205" i="1"/>
  <c r="Q221" i="1"/>
  <c r="Q237" i="1"/>
  <c r="Q253" i="1"/>
  <c r="Q269" i="1"/>
  <c r="Q285" i="1"/>
  <c r="Q301" i="1"/>
  <c r="Q317" i="1"/>
  <c r="Q333" i="1"/>
  <c r="Q349" i="1"/>
  <c r="Q365" i="1"/>
  <c r="Q381" i="1"/>
  <c r="Q397" i="1"/>
  <c r="Q413" i="1"/>
  <c r="Q429" i="1"/>
  <c r="Q445" i="1"/>
  <c r="Q461" i="1"/>
  <c r="Q477" i="1"/>
  <c r="Q493" i="1"/>
  <c r="Q509" i="1"/>
  <c r="Q525" i="1"/>
  <c r="Q541" i="1"/>
  <c r="Q557" i="1"/>
  <c r="Q573" i="1"/>
  <c r="Q589" i="1"/>
  <c r="Q605" i="1"/>
  <c r="Q616" i="1"/>
  <c r="Q626" i="1"/>
  <c r="Q635" i="1"/>
  <c r="Q643" i="1"/>
  <c r="Q651" i="1"/>
  <c r="Q659" i="1"/>
  <c r="Q667" i="1"/>
  <c r="Q675" i="1"/>
  <c r="Q683" i="1"/>
  <c r="Q691" i="1"/>
  <c r="Q699" i="1"/>
  <c r="Q707" i="1"/>
  <c r="Q715" i="1"/>
  <c r="Q723" i="1"/>
  <c r="Q731" i="1"/>
  <c r="Q739" i="1"/>
  <c r="Q747" i="1"/>
  <c r="Q755" i="1"/>
  <c r="Q763" i="1"/>
  <c r="Q771" i="1"/>
  <c r="Q779" i="1"/>
  <c r="Q787" i="1"/>
  <c r="Q795" i="1"/>
  <c r="Q803" i="1"/>
  <c r="Q811" i="1"/>
  <c r="Q819" i="1"/>
  <c r="Q827" i="1"/>
  <c r="Q835" i="1"/>
  <c r="Q843" i="1"/>
  <c r="Q851" i="1"/>
  <c r="Q859" i="1"/>
  <c r="Q867" i="1"/>
  <c r="Q875" i="1"/>
  <c r="Q883" i="1"/>
  <c r="Q891" i="1"/>
  <c r="Q899" i="1"/>
  <c r="Q907" i="1"/>
  <c r="Q915" i="1"/>
  <c r="Q923" i="1"/>
  <c r="Q931" i="1"/>
  <c r="Q939" i="1"/>
  <c r="Q947" i="1"/>
  <c r="Q955" i="1"/>
  <c r="Q963" i="1"/>
  <c r="Q971" i="1"/>
  <c r="Q979" i="1"/>
  <c r="Q987" i="1"/>
  <c r="Q995" i="1"/>
  <c r="Q1003" i="1"/>
  <c r="Q21" i="1"/>
  <c r="Q53" i="1"/>
  <c r="Q85" i="1"/>
  <c r="Q117" i="1"/>
  <c r="Q149" i="1"/>
  <c r="Q176" i="1"/>
  <c r="Q192" i="1"/>
  <c r="Q208" i="1"/>
  <c r="Q224" i="1"/>
  <c r="Q240" i="1"/>
  <c r="Q256" i="1"/>
  <c r="Q272" i="1"/>
  <c r="Q288" i="1"/>
  <c r="Q304" i="1"/>
  <c r="Q320" i="1"/>
  <c r="Q336" i="1"/>
  <c r="Q352" i="1"/>
  <c r="Q368" i="1"/>
  <c r="Q384" i="1"/>
  <c r="Q400" i="1"/>
  <c r="Q416" i="1"/>
  <c r="Q432" i="1"/>
  <c r="Q448" i="1"/>
  <c r="Q464" i="1"/>
  <c r="Q480" i="1"/>
  <c r="Q496" i="1"/>
  <c r="Q512" i="1"/>
  <c r="Q528" i="1"/>
  <c r="Q544" i="1"/>
  <c r="Q560" i="1"/>
  <c r="Q576" i="1"/>
  <c r="Q592" i="1"/>
  <c r="Q606" i="1"/>
  <c r="Q617" i="1"/>
  <c r="Q628" i="1"/>
  <c r="Q636" i="1"/>
  <c r="Q644" i="1"/>
  <c r="Q652" i="1"/>
  <c r="Q660" i="1"/>
  <c r="Q668" i="1"/>
  <c r="Q676" i="1"/>
  <c r="Q684" i="1"/>
  <c r="Q692" i="1"/>
  <c r="Q700" i="1"/>
  <c r="Q708" i="1"/>
  <c r="Q716" i="1"/>
  <c r="Q724" i="1"/>
  <c r="Q732" i="1"/>
  <c r="Q740" i="1"/>
  <c r="Q748" i="1"/>
  <c r="Q756" i="1"/>
  <c r="Q764" i="1"/>
  <c r="Q772" i="1"/>
  <c r="Q780" i="1"/>
  <c r="Q788" i="1"/>
  <c r="Q796" i="1"/>
  <c r="Q804" i="1"/>
  <c r="Q812" i="1"/>
  <c r="Q820" i="1"/>
  <c r="Q828" i="1"/>
  <c r="Q836" i="1"/>
  <c r="Q844" i="1"/>
  <c r="Q852" i="1"/>
  <c r="Q860" i="1"/>
  <c r="Q868" i="1"/>
  <c r="Q876" i="1"/>
  <c r="Q884" i="1"/>
  <c r="Q892" i="1"/>
  <c r="Q900" i="1"/>
  <c r="Q908" i="1"/>
  <c r="Q916" i="1"/>
  <c r="Q924" i="1"/>
  <c r="Q932" i="1"/>
  <c r="Q940" i="1"/>
  <c r="Q948" i="1"/>
  <c r="Q956" i="1"/>
  <c r="Q964" i="1"/>
  <c r="Q972" i="1"/>
  <c r="Q980" i="1"/>
  <c r="Q988" i="1"/>
  <c r="Q996" i="1"/>
  <c r="Q3" i="1"/>
  <c r="Q25" i="1"/>
  <c r="Q57" i="1"/>
  <c r="Q89" i="1"/>
  <c r="Q121" i="1"/>
  <c r="Q153" i="1"/>
  <c r="Q177" i="1"/>
  <c r="Q193" i="1"/>
  <c r="Q209" i="1"/>
  <c r="Q225" i="1"/>
  <c r="Q241" i="1"/>
  <c r="Q257" i="1"/>
  <c r="Q273" i="1"/>
  <c r="Q289" i="1"/>
  <c r="Q305" i="1"/>
  <c r="Q321" i="1"/>
  <c r="Q337" i="1"/>
  <c r="Q353" i="1"/>
  <c r="Q369" i="1"/>
  <c r="Q385" i="1"/>
  <c r="Q401" i="1"/>
  <c r="Q417" i="1"/>
  <c r="Q433" i="1"/>
  <c r="Q449" i="1"/>
  <c r="Q465" i="1"/>
  <c r="Q481" i="1"/>
  <c r="Q497" i="1"/>
  <c r="Q513" i="1"/>
  <c r="Q529" i="1"/>
  <c r="Q545" i="1"/>
  <c r="Q561" i="1"/>
  <c r="Q577" i="1"/>
  <c r="Q593" i="1"/>
  <c r="Q608" i="1"/>
  <c r="Q618" i="1"/>
  <c r="Q629" i="1"/>
  <c r="Q637" i="1"/>
  <c r="Q645" i="1"/>
  <c r="Q653" i="1"/>
  <c r="Q661" i="1"/>
  <c r="Q669" i="1"/>
  <c r="Q677" i="1"/>
  <c r="Q685" i="1"/>
  <c r="Q693" i="1"/>
  <c r="Q701" i="1"/>
  <c r="Q709" i="1"/>
  <c r="Q717" i="1"/>
  <c r="Q725" i="1"/>
  <c r="Q733" i="1"/>
  <c r="Q741" i="1"/>
  <c r="Q749" i="1"/>
  <c r="Q757" i="1"/>
  <c r="Q765" i="1"/>
  <c r="Q773" i="1"/>
  <c r="Q781" i="1"/>
  <c r="Q789" i="1"/>
  <c r="Q797" i="1"/>
  <c r="Q805" i="1"/>
  <c r="Q813" i="1"/>
  <c r="Q821" i="1"/>
  <c r="Q829" i="1"/>
  <c r="Q837" i="1"/>
  <c r="Q845" i="1"/>
  <c r="Q853" i="1"/>
  <c r="Q861" i="1"/>
  <c r="Q869" i="1"/>
  <c r="Q877" i="1"/>
  <c r="Q885" i="1"/>
  <c r="Q893" i="1"/>
  <c r="Q901" i="1"/>
  <c r="Q909" i="1"/>
  <c r="Q917" i="1"/>
  <c r="Q925" i="1"/>
  <c r="Q933" i="1"/>
  <c r="Q941" i="1"/>
  <c r="Q949" i="1"/>
  <c r="Q957" i="1"/>
  <c r="Q965" i="1"/>
  <c r="Q973" i="1"/>
  <c r="Q981" i="1"/>
  <c r="Q989" i="1"/>
  <c r="Q997" i="1"/>
  <c r="Q29" i="1"/>
  <c r="Q61" i="1"/>
  <c r="Q93" i="1"/>
  <c r="Q125" i="1"/>
  <c r="Q157" i="1"/>
  <c r="Q180" i="1"/>
  <c r="Q196" i="1"/>
  <c r="Q212" i="1"/>
  <c r="Q228" i="1"/>
  <c r="Q244" i="1"/>
  <c r="Q260" i="1"/>
  <c r="Q276" i="1"/>
  <c r="Q292" i="1"/>
  <c r="Q308" i="1"/>
  <c r="Q324" i="1"/>
  <c r="Q340" i="1"/>
  <c r="Q356" i="1"/>
  <c r="Q372" i="1"/>
  <c r="Q388" i="1"/>
  <c r="Q404" i="1"/>
  <c r="Q420" i="1"/>
  <c r="Q436" i="1"/>
  <c r="Q452" i="1"/>
  <c r="Q468" i="1"/>
  <c r="Q484" i="1"/>
  <c r="Q500" i="1"/>
  <c r="Q516" i="1"/>
  <c r="Q532" i="1"/>
  <c r="Q548" i="1"/>
  <c r="Q564" i="1"/>
  <c r="Q580" i="1"/>
  <c r="Q596" i="1"/>
  <c r="Q609" i="1"/>
  <c r="Q620" i="1"/>
  <c r="Q630" i="1"/>
  <c r="Q638" i="1"/>
  <c r="Q646" i="1"/>
  <c r="Q654" i="1"/>
  <c r="Q662" i="1"/>
  <c r="Q670" i="1"/>
  <c r="Q678" i="1"/>
  <c r="Q686" i="1"/>
  <c r="Q694" i="1"/>
  <c r="Q702" i="1"/>
  <c r="Q710" i="1"/>
  <c r="Q718" i="1"/>
  <c r="Q726" i="1"/>
  <c r="Q734" i="1"/>
  <c r="Q742" i="1"/>
  <c r="Q750" i="1"/>
  <c r="Q758" i="1"/>
  <c r="Q766" i="1"/>
  <c r="Q774" i="1"/>
  <c r="Q782" i="1"/>
  <c r="Q790" i="1"/>
  <c r="Q798" i="1"/>
  <c r="Q806" i="1"/>
  <c r="Q814" i="1"/>
  <c r="Q822" i="1"/>
  <c r="Q830" i="1"/>
  <c r="Q838" i="1"/>
  <c r="Q846" i="1"/>
  <c r="Q854" i="1"/>
  <c r="Q862" i="1"/>
  <c r="Q870" i="1"/>
  <c r="Q878" i="1"/>
  <c r="Q886" i="1"/>
  <c r="Q894" i="1"/>
  <c r="Q902" i="1"/>
  <c r="Q910" i="1"/>
  <c r="Q918" i="1"/>
  <c r="Q926" i="1"/>
  <c r="Q934" i="1"/>
  <c r="Q942" i="1"/>
  <c r="Q950" i="1"/>
  <c r="Q958" i="1"/>
  <c r="Q966" i="1"/>
  <c r="Q974" i="1"/>
  <c r="Q982" i="1"/>
  <c r="Q990" i="1"/>
  <c r="Q998" i="1"/>
</calcChain>
</file>

<file path=xl/sharedStrings.xml><?xml version="1.0" encoding="utf-8"?>
<sst xmlns="http://schemas.openxmlformats.org/spreadsheetml/2006/main" count="40" uniqueCount="35">
  <si>
    <t>Date</t>
  </si>
  <si>
    <t>ALSEA.MX</t>
  </si>
  <si>
    <t>LALA.MX</t>
  </si>
  <si>
    <t>BIMBO.MX</t>
  </si>
  <si>
    <t>WALMEX.MX</t>
  </si>
  <si>
    <t>ELEKTRA.MX</t>
  </si>
  <si>
    <t>EMISORAS</t>
  </si>
  <si>
    <t>PONDERADORES</t>
  </si>
  <si>
    <t>REND. ALSEA</t>
  </si>
  <si>
    <t>REND. LALA</t>
  </si>
  <si>
    <t>REND. BIMBO</t>
  </si>
  <si>
    <t>REND. WALMEX</t>
  </si>
  <si>
    <t>REND. ELEKTRA</t>
  </si>
  <si>
    <t>RENDIMIENTOS POR EMISORA</t>
  </si>
  <si>
    <t>MEDIA ALSEA</t>
  </si>
  <si>
    <t>MEDIA LALA</t>
  </si>
  <si>
    <t>MEDIA BIMBO</t>
  </si>
  <si>
    <t>MEDIA WALMEX</t>
  </si>
  <si>
    <t>MEDIA ELEKTRA</t>
  </si>
  <si>
    <t>Varianza</t>
  </si>
  <si>
    <t>LALA</t>
  </si>
  <si>
    <t>ALSEA</t>
  </si>
  <si>
    <t>BIMBO</t>
  </si>
  <si>
    <t>WALMEX</t>
  </si>
  <si>
    <t>ELEKTRA</t>
  </si>
  <si>
    <t>W1</t>
  </si>
  <si>
    <t>W2</t>
  </si>
  <si>
    <t>W3</t>
  </si>
  <si>
    <t>W4</t>
  </si>
  <si>
    <t>W5</t>
  </si>
  <si>
    <t xml:space="preserve">Riesgo </t>
  </si>
  <si>
    <t>Rendimiento</t>
  </si>
  <si>
    <t>ESTADISTICAS</t>
  </si>
  <si>
    <t>MEDIAS RENDIMIENTO</t>
  </si>
  <si>
    <t>MATRIZ DE COVARIANZAS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</si>
</sst>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17" fillId="33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14" fontId="0" fillId="0" borderId="10" xfId="0" applyNumberFormat="1" applyBorder="1" applyAlignment="1">
      <alignment horizontal="center"/>
    </xf>
    <xf numFmtId="0" fontId="17" fillId="34" borderId="10" xfId="0" applyFont="1" applyFill="1" applyBorder="1" applyAlignment="1">
      <alignment horizontal="center"/>
    </xf>
    <xf numFmtId="0" fontId="17" fillId="36" borderId="0" xfId="0" applyFont="1" applyFill="1"/>
    <xf numFmtId="0" fontId="17" fillId="34" borderId="16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17" fillId="37" borderId="19" xfId="0" applyFont="1" applyFill="1" applyBorder="1" applyAlignment="1">
      <alignment horizontal="center"/>
    </xf>
    <xf numFmtId="0" fontId="17" fillId="37" borderId="15" xfId="0" applyFont="1" applyFill="1" applyBorder="1" applyAlignment="1">
      <alignment horizontal="center"/>
    </xf>
    <xf numFmtId="0" fontId="0" fillId="0" borderId="13" xfId="0" applyBorder="1"/>
    <xf numFmtId="0" fontId="17" fillId="33" borderId="16" xfId="0" applyFont="1" applyFill="1" applyBorder="1" applyAlignment="1">
      <alignment horizontal="center"/>
    </xf>
    <xf numFmtId="0" fontId="0" fillId="0" borderId="16" xfId="0" applyBorder="1"/>
    <xf numFmtId="0" fontId="17" fillId="37" borderId="20" xfId="0" applyFont="1" applyFill="1" applyBorder="1" applyAlignment="1">
      <alignment horizontal="center"/>
    </xf>
    <xf numFmtId="0" fontId="18" fillId="0" borderId="10" xfId="0" applyFont="1" applyFill="1" applyBorder="1" applyAlignment="1">
      <alignment horizontal="center"/>
    </xf>
    <xf numFmtId="0" fontId="0" fillId="0" borderId="10" xfId="0" applyFill="1" applyBorder="1" applyAlignment="1"/>
    <xf numFmtId="0" fontId="0" fillId="39" borderId="10" xfId="0" applyFill="1" applyBorder="1" applyAlignment="1"/>
    <xf numFmtId="0" fontId="0" fillId="35" borderId="10" xfId="0" applyFill="1" applyBorder="1" applyAlignment="1">
      <alignment horizontal="center"/>
    </xf>
    <xf numFmtId="0" fontId="0" fillId="35" borderId="11" xfId="0" applyFill="1" applyBorder="1" applyAlignment="1">
      <alignment horizontal="center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17" fillId="38" borderId="10" xfId="0" applyFont="1" applyFill="1" applyBorder="1" applyAlignment="1">
      <alignment horizontal="center"/>
    </xf>
    <xf numFmtId="0" fontId="17" fillId="38" borderId="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VS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Riesgo vs Rendimiento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BASE!$S$3:$S$1003</c:f>
              <c:numCache>
                <c:formatCode>General</c:formatCode>
                <c:ptCount val="1001"/>
                <c:pt idx="0">
                  <c:v>3.2763088672026472E-2</c:v>
                </c:pt>
                <c:pt idx="1">
                  <c:v>2.9952689882640254E-2</c:v>
                </c:pt>
                <c:pt idx="2">
                  <c:v>2.7303392887355608E-2</c:v>
                </c:pt>
                <c:pt idx="3">
                  <c:v>2.4866742351946948E-2</c:v>
                </c:pt>
                <c:pt idx="4">
                  <c:v>2.2711285021241184E-2</c:v>
                </c:pt>
                <c:pt idx="5">
                  <c:v>2.092410188072899E-2</c:v>
                </c:pt>
                <c:pt idx="6">
                  <c:v>1.9606162087347164E-2</c:v>
                </c:pt>
                <c:pt idx="7">
                  <c:v>1.8856116359331866E-2</c:v>
                </c:pt>
                <c:pt idx="8">
                  <c:v>1.8742268715369725E-2</c:v>
                </c:pt>
                <c:pt idx="9">
                  <c:v>1.9275895027798865E-2</c:v>
                </c:pt>
                <c:pt idx="10">
                  <c:v>2.0406263786579008E-2</c:v>
                </c:pt>
                <c:pt idx="11">
                  <c:v>2.9685447282461794E-2</c:v>
                </c:pt>
                <c:pt idx="12">
                  <c:v>2.6930349428819309E-2</c:v>
                </c:pt>
                <c:pt idx="13">
                  <c:v>2.4368619994532496E-2</c:v>
                </c:pt>
                <c:pt idx="14">
                  <c:v>2.206770356422888E-2</c:v>
                </c:pt>
                <c:pt idx="15">
                  <c:v>2.0117291588098076E-2</c:v>
                </c:pt>
                <c:pt idx="16">
                  <c:v>1.8627809349560501E-2</c:v>
                </c:pt>
                <c:pt idx="17">
                  <c:v>1.7715900247171072E-2</c:v>
                </c:pt>
                <c:pt idx="18">
                  <c:v>1.7472233459205753E-2</c:v>
                </c:pt>
                <c:pt idx="19">
                  <c:v>1.7924082755315335E-2</c:v>
                </c:pt>
                <c:pt idx="20">
                  <c:v>1.9021948461367632E-2</c:v>
                </c:pt>
                <c:pt idx="21">
                  <c:v>2.6818104174703643E-2</c:v>
                </c:pt>
                <c:pt idx="22">
                  <c:v>2.4155805506082519E-2</c:v>
                </c:pt>
                <c:pt idx="23">
                  <c:v>2.1733916992830508E-2</c:v>
                </c:pt>
                <c:pt idx="24">
                  <c:v>1.9641571631005939E-2</c:v>
                </c:pt>
                <c:pt idx="25">
                  <c:v>1.7994096379139426E-2</c:v>
                </c:pt>
                <c:pt idx="26">
                  <c:v>1.6921928168761091E-2</c:v>
                </c:pt>
                <c:pt idx="27">
                  <c:v>1.6537345055261807E-2</c:v>
                </c:pt>
                <c:pt idx="28">
                  <c:v>1.6887388492185663E-2</c:v>
                </c:pt>
                <c:pt idx="29">
                  <c:v>1.7929081927872046E-2</c:v>
                </c:pt>
                <c:pt idx="30">
                  <c:v>2.4235815910082021E-2</c:v>
                </c:pt>
                <c:pt idx="31">
                  <c:v>2.1724209745667487E-2</c:v>
                </c:pt>
                <c:pt idx="32">
                  <c:v>1.9521162501276761E-2</c:v>
                </c:pt>
                <c:pt idx="33">
                  <c:v>1.7741991483762026E-2</c:v>
                </c:pt>
                <c:pt idx="34">
                  <c:v>1.652418585890527E-2</c:v>
                </c:pt>
                <c:pt idx="35">
                  <c:v>1.5996473201007031E-2</c:v>
                </c:pt>
                <c:pt idx="36">
                  <c:v>1.6226323413594278E-2</c:v>
                </c:pt>
                <c:pt idx="37">
                  <c:v>1.7183363124129981E-2</c:v>
                </c:pt>
                <c:pt idx="38">
                  <c:v>2.2039010056402318E-2</c:v>
                </c:pt>
                <c:pt idx="39">
                  <c:v>1.9762559769334324E-2</c:v>
                </c:pt>
                <c:pt idx="40">
                  <c:v>1.7887636878245006E-2</c:v>
                </c:pt>
                <c:pt idx="41">
                  <c:v>1.6551263324004022E-2</c:v>
                </c:pt>
                <c:pt idx="42">
                  <c:v>1.588990441236891E-2</c:v>
                </c:pt>
                <c:pt idx="43">
                  <c:v>1.5987550998481658E-2</c:v>
                </c:pt>
                <c:pt idx="44">
                  <c:v>1.6830997941447594E-2</c:v>
                </c:pt>
                <c:pt idx="45">
                  <c:v>2.0352893795274166E-2</c:v>
                </c:pt>
                <c:pt idx="46">
                  <c:v>1.8421600862464645E-2</c:v>
                </c:pt>
                <c:pt idx="47">
                  <c:v>1.7001130871543136E-2</c:v>
                </c:pt>
                <c:pt idx="48">
                  <c:v>1.6226198062634593E-2</c:v>
                </c:pt>
                <c:pt idx="49">
                  <c:v>1.6189766406760987E-2</c:v>
                </c:pt>
                <c:pt idx="50">
                  <c:v>1.6896613540122677E-2</c:v>
                </c:pt>
                <c:pt idx="51">
                  <c:v>1.9311699499368416E-2</c:v>
                </c:pt>
                <c:pt idx="52">
                  <c:v>1.7841836177145402E-2</c:v>
                </c:pt>
                <c:pt idx="53">
                  <c:v>1.6979060011420331E-2</c:v>
                </c:pt>
                <c:pt idx="54">
                  <c:v>1.6817069294376534E-2</c:v>
                </c:pt>
                <c:pt idx="55">
                  <c:v>1.7375475260073943E-2</c:v>
                </c:pt>
                <c:pt idx="56">
                  <c:v>1.9021627674907123E-2</c:v>
                </c:pt>
                <c:pt idx="57">
                  <c:v>1.8096573933894786E-2</c:v>
                </c:pt>
                <c:pt idx="58">
                  <c:v>1.7824635675608588E-2</c:v>
                </c:pt>
                <c:pt idx="59">
                  <c:v>1.8235055960225816E-2</c:v>
                </c:pt>
                <c:pt idx="60">
                  <c:v>1.9516199204465207E-2</c:v>
                </c:pt>
                <c:pt idx="61">
                  <c:v>1.9152545216091665E-2</c:v>
                </c:pt>
                <c:pt idx="62">
                  <c:v>1.9424879026692377E-2</c:v>
                </c:pt>
                <c:pt idx="63">
                  <c:v>2.0739355667682483E-2</c:v>
                </c:pt>
                <c:pt idx="64">
                  <c:v>2.0888588236179114E-2</c:v>
                </c:pt>
                <c:pt idx="65">
                  <c:v>2.2572967145893522E-2</c:v>
                </c:pt>
                <c:pt idx="66">
                  <c:v>2.9753258193027037E-2</c:v>
                </c:pt>
                <c:pt idx="67">
                  <c:v>2.6980285747059345E-2</c:v>
                </c:pt>
                <c:pt idx="68">
                  <c:v>2.4396377701743903E-2</c:v>
                </c:pt>
                <c:pt idx="69">
                  <c:v>2.20680459266436E-2</c:v>
                </c:pt>
                <c:pt idx="70">
                  <c:v>2.008437295899192E-2</c:v>
                </c:pt>
                <c:pt idx="71">
                  <c:v>1.8556222766836224E-2</c:v>
                </c:pt>
                <c:pt idx="72">
                  <c:v>1.7602634736599704E-2</c:v>
                </c:pt>
                <c:pt idx="73">
                  <c:v>1.7318778133834169E-2</c:v>
                </c:pt>
                <c:pt idx="74">
                  <c:v>1.7736836880033857E-2</c:v>
                </c:pt>
                <c:pt idx="75">
                  <c:v>1.8810068289350151E-2</c:v>
                </c:pt>
                <c:pt idx="76">
                  <c:v>2.672425435394369E-2</c:v>
                </c:pt>
                <c:pt idx="77">
                  <c:v>2.402372795363494E-2</c:v>
                </c:pt>
                <c:pt idx="78">
                  <c:v>2.1556001922605549E-2</c:v>
                </c:pt>
                <c:pt idx="79">
                  <c:v>1.9410072464203162E-2</c:v>
                </c:pt>
                <c:pt idx="80">
                  <c:v>1.7703349607489316E-2</c:v>
                </c:pt>
                <c:pt idx="81">
                  <c:v>1.6572092253710657E-2</c:v>
                </c:pt>
                <c:pt idx="82">
                  <c:v>1.6137777916650477E-2</c:v>
                </c:pt>
                <c:pt idx="83">
                  <c:v>1.6455682623030182E-2</c:v>
                </c:pt>
                <c:pt idx="84">
                  <c:v>1.7484824425020508E-2</c:v>
                </c:pt>
                <c:pt idx="85">
                  <c:v>2.3943564867920469E-2</c:v>
                </c:pt>
                <c:pt idx="86">
                  <c:v>2.1366382958382026E-2</c:v>
                </c:pt>
                <c:pt idx="87">
                  <c:v>1.9087124533184421E-2</c:v>
                </c:pt>
                <c:pt idx="88">
                  <c:v>1.7224468213778734E-2</c:v>
                </c:pt>
                <c:pt idx="89">
                  <c:v>1.5925271351873029E-2</c:v>
                </c:pt>
                <c:pt idx="90">
                  <c:v>1.5333434386830368E-2</c:v>
                </c:pt>
                <c:pt idx="91">
                  <c:v>1.5530039685744745E-2</c:v>
                </c:pt>
                <c:pt idx="92">
                  <c:v>1.6486904963258324E-2</c:v>
                </c:pt>
                <c:pt idx="93">
                  <c:v>2.1507718533843662E-2</c:v>
                </c:pt>
                <c:pt idx="94">
                  <c:v>1.9133328690923181E-2</c:v>
                </c:pt>
                <c:pt idx="95">
                  <c:v>1.7150934585027623E-2</c:v>
                </c:pt>
                <c:pt idx="96">
                  <c:v>1.570964122970412E-2</c:v>
                </c:pt>
                <c:pt idx="97">
                  <c:v>1.4966598747653822E-2</c:v>
                </c:pt>
                <c:pt idx="98">
                  <c:v>1.5025754844987216E-2</c:v>
                </c:pt>
                <c:pt idx="99">
                  <c:v>1.5878145966427289E-2</c:v>
                </c:pt>
                <c:pt idx="100">
                  <c:v>1.9546067241633512E-2</c:v>
                </c:pt>
                <c:pt idx="101">
                  <c:v>1.748786273397239E-2</c:v>
                </c:pt>
                <c:pt idx="102">
                  <c:v>1.5942707469912134E-2</c:v>
                </c:pt>
                <c:pt idx="103">
                  <c:v>1.5069256120368208E-2</c:v>
                </c:pt>
                <c:pt idx="104">
                  <c:v>1.4985426875883374E-2</c:v>
                </c:pt>
                <c:pt idx="105">
                  <c:v>1.5703870139706682E-2</c:v>
                </c:pt>
                <c:pt idx="106">
                  <c:v>1.8212486453929474E-2</c:v>
                </c:pt>
                <c:pt idx="107">
                  <c:v>1.6605587895232907E-2</c:v>
                </c:pt>
                <c:pt idx="108">
                  <c:v>1.5632159669705825E-2</c:v>
                </c:pt>
                <c:pt idx="109">
                  <c:v>1.5412698096478092E-2</c:v>
                </c:pt>
                <c:pt idx="110">
                  <c:v>1.5978300578231467E-2</c:v>
                </c:pt>
                <c:pt idx="111">
                  <c:v>1.7649920996745564E-2</c:v>
                </c:pt>
                <c:pt idx="112">
                  <c:v>1.6608578681724717E-2</c:v>
                </c:pt>
                <c:pt idx="113">
                  <c:v>1.6270772585954604E-2</c:v>
                </c:pt>
                <c:pt idx="114">
                  <c:v>1.667930380267095E-2</c:v>
                </c:pt>
                <c:pt idx="115">
                  <c:v>1.7931087242129096E-2</c:v>
                </c:pt>
                <c:pt idx="116">
                  <c:v>1.7496381124234385E-2</c:v>
                </c:pt>
                <c:pt idx="117">
                  <c:v>1.7756429688572418E-2</c:v>
                </c:pt>
                <c:pt idx="118">
                  <c:v>1.9018601376416183E-2</c:v>
                </c:pt>
                <c:pt idx="119">
                  <c:v>1.9146303799913431E-2</c:v>
                </c:pt>
                <c:pt idx="120">
                  <c:v>2.0786284831154495E-2</c:v>
                </c:pt>
                <c:pt idx="121">
                  <c:v>2.6849035631376871E-2</c:v>
                </c:pt>
                <c:pt idx="122">
                  <c:v>2.4134745787856984E-2</c:v>
                </c:pt>
                <c:pt idx="123">
                  <c:v>2.1648768423056929E-2</c:v>
                </c:pt>
                <c:pt idx="124">
                  <c:v>1.9478715930649624E-2</c:v>
                </c:pt>
                <c:pt idx="125">
                  <c:v>1.7740900610168323E-2</c:v>
                </c:pt>
                <c:pt idx="126">
                  <c:v>1.6571865154349059E-2</c:v>
                </c:pt>
                <c:pt idx="127">
                  <c:v>1.6096019849923045E-2</c:v>
                </c:pt>
                <c:pt idx="128">
                  <c:v>1.6373911426578423E-2</c:v>
                </c:pt>
                <c:pt idx="129">
                  <c:v>1.7369400561990753E-2</c:v>
                </c:pt>
                <c:pt idx="130">
                  <c:v>2.3894009890616751E-2</c:v>
                </c:pt>
                <c:pt idx="131">
                  <c:v>2.1279408748514764E-2</c:v>
                </c:pt>
                <c:pt idx="132">
                  <c:v>1.8954438656973528E-2</c:v>
                </c:pt>
                <c:pt idx="133">
                  <c:v>1.7038081846167688E-2</c:v>
                </c:pt>
                <c:pt idx="134">
                  <c:v>1.5680870552159266E-2</c:v>
                </c:pt>
                <c:pt idx="135">
                  <c:v>1.5034997493567235E-2</c:v>
                </c:pt>
                <c:pt idx="136">
                  <c:v>1.5191463987078428E-2</c:v>
                </c:pt>
                <c:pt idx="137">
                  <c:v>1.6126933576813638E-2</c:v>
                </c:pt>
                <c:pt idx="138">
                  <c:v>2.1240429211942195E-2</c:v>
                </c:pt>
                <c:pt idx="139">
                  <c:v>1.879679891005227E-2</c:v>
                </c:pt>
                <c:pt idx="140">
                  <c:v>1.6734737688517493E-2</c:v>
                </c:pt>
                <c:pt idx="141">
                  <c:v>1.5210234114673043E-2</c:v>
                </c:pt>
                <c:pt idx="142">
                  <c:v>1.4395102577750885E-2</c:v>
                </c:pt>
                <c:pt idx="143">
                  <c:v>1.4410229516073195E-2</c:v>
                </c:pt>
                <c:pt idx="144">
                  <c:v>1.5253144963219044E-2</c:v>
                </c:pt>
                <c:pt idx="145">
                  <c:v>1.9014917504392513E-2</c:v>
                </c:pt>
                <c:pt idx="146">
                  <c:v>1.6852453589320679E-2</c:v>
                </c:pt>
                <c:pt idx="147">
                  <c:v>1.5199055113482959E-2</c:v>
                </c:pt>
                <c:pt idx="148">
                  <c:v>1.423324772447624E-2</c:v>
                </c:pt>
                <c:pt idx="149">
                  <c:v>1.4097070096692225E-2</c:v>
                </c:pt>
                <c:pt idx="150">
                  <c:v>1.4813419926435983E-2</c:v>
                </c:pt>
                <c:pt idx="151">
                  <c:v>1.7382677366472289E-2</c:v>
                </c:pt>
                <c:pt idx="152">
                  <c:v>1.564831827488699E-2</c:v>
                </c:pt>
                <c:pt idx="153">
                  <c:v>1.4565378035553586E-2</c:v>
                </c:pt>
                <c:pt idx="154">
                  <c:v>1.4282807493141605E-2</c:v>
                </c:pt>
                <c:pt idx="155">
                  <c:v>1.4846377421271078E-2</c:v>
                </c:pt>
                <c:pt idx="156">
                  <c:v>1.6520502029041748E-2</c:v>
                </c:pt>
                <c:pt idx="157">
                  <c:v>1.5359481365619295E-2</c:v>
                </c:pt>
                <c:pt idx="158">
                  <c:v>1.4948857094479519E-2</c:v>
                </c:pt>
                <c:pt idx="159">
                  <c:v>1.5348972901229104E-2</c:v>
                </c:pt>
                <c:pt idx="160">
                  <c:v>1.6549188266889912E-2</c:v>
                </c:pt>
                <c:pt idx="161">
                  <c:v>1.6035479442353451E-2</c:v>
                </c:pt>
                <c:pt idx="162">
                  <c:v>1.6277762428553992E-2</c:v>
                </c:pt>
                <c:pt idx="163">
                  <c:v>1.74643467507677E-2</c:v>
                </c:pt>
                <c:pt idx="164">
                  <c:v>1.7565268691601715E-2</c:v>
                </c:pt>
                <c:pt idx="165">
                  <c:v>1.9139234903878047E-2</c:v>
                </c:pt>
                <c:pt idx="166">
                  <c:v>2.4088648841998427E-2</c:v>
                </c:pt>
                <c:pt idx="167">
                  <c:v>2.1466579535644251E-2</c:v>
                </c:pt>
                <c:pt idx="168">
                  <c:v>1.9129376648712303E-2</c:v>
                </c:pt>
                <c:pt idx="169">
                  <c:v>1.7193604772053735E-2</c:v>
                </c:pt>
                <c:pt idx="170">
                  <c:v>1.5807435567732321E-2</c:v>
                </c:pt>
                <c:pt idx="171">
                  <c:v>1.512276342073628E-2</c:v>
                </c:pt>
                <c:pt idx="172">
                  <c:v>1.5234464474087698E-2</c:v>
                </c:pt>
                <c:pt idx="173">
                  <c:v>1.6125998332694055E-2</c:v>
                </c:pt>
                <c:pt idx="174">
                  <c:v>2.1247107897209384E-2</c:v>
                </c:pt>
                <c:pt idx="175">
                  <c:v>1.8768721747807589E-2</c:v>
                </c:pt>
                <c:pt idx="176">
                  <c:v>1.6663079492660535E-2</c:v>
                </c:pt>
                <c:pt idx="177">
                  <c:v>1.5087064008346786E-2</c:v>
                </c:pt>
                <c:pt idx="178">
                  <c:v>1.4217902893405642E-2</c:v>
                </c:pt>
                <c:pt idx="179">
                  <c:v>1.4186120155342071E-2</c:v>
                </c:pt>
                <c:pt idx="180">
                  <c:v>1.4997040625350823E-2</c:v>
                </c:pt>
                <c:pt idx="181">
                  <c:v>1.8782846299080769E-2</c:v>
                </c:pt>
                <c:pt idx="182">
                  <c:v>1.6549771154605125E-2</c:v>
                </c:pt>
                <c:pt idx="183">
                  <c:v>1.4817642036634507E-2</c:v>
                </c:pt>
                <c:pt idx="184">
                  <c:v>1.3776722609641476E-2</c:v>
                </c:pt>
                <c:pt idx="185">
                  <c:v>1.3586818475320325E-2</c:v>
                </c:pt>
                <c:pt idx="186">
                  <c:v>1.428191747563104E-2</c:v>
                </c:pt>
                <c:pt idx="187">
                  <c:v>1.6862092584576108E-2</c:v>
                </c:pt>
                <c:pt idx="188">
                  <c:v>1.5023450490139199E-2</c:v>
                </c:pt>
                <c:pt idx="189">
                  <c:v>1.3843624634092095E-2</c:v>
                </c:pt>
                <c:pt idx="190">
                  <c:v>1.3496510714653241E-2</c:v>
                </c:pt>
                <c:pt idx="191">
                  <c:v>1.4043989462150292E-2</c:v>
                </c:pt>
                <c:pt idx="192">
                  <c:v>1.5685794455603145E-2</c:v>
                </c:pt>
                <c:pt idx="193">
                  <c:v>1.4411534759567326E-2</c:v>
                </c:pt>
                <c:pt idx="194">
                  <c:v>1.392510325384105E-2</c:v>
                </c:pt>
                <c:pt idx="195">
                  <c:v>1.4307083812405041E-2</c:v>
                </c:pt>
                <c:pt idx="196">
                  <c:v>1.5425215045915366E-2</c:v>
                </c:pt>
                <c:pt idx="197">
                  <c:v>1.4827667846275091E-2</c:v>
                </c:pt>
                <c:pt idx="198">
                  <c:v>1.5044938962565356E-2</c:v>
                </c:pt>
                <c:pt idx="199">
                  <c:v>1.6124810103028395E-2</c:v>
                </c:pt>
                <c:pt idx="200">
                  <c:v>1.6192784304417594E-2</c:v>
                </c:pt>
                <c:pt idx="201">
                  <c:v>1.7670904692216782E-2</c:v>
                </c:pt>
                <c:pt idx="202">
                  <c:v>2.1527499603888809E-2</c:v>
                </c:pt>
                <c:pt idx="203">
                  <c:v>1.9050461074209043E-2</c:v>
                </c:pt>
                <c:pt idx="204">
                  <c:v>1.6940332793826854E-2</c:v>
                </c:pt>
                <c:pt idx="205">
                  <c:v>1.5349190964750799E-2</c:v>
                </c:pt>
                <c:pt idx="206">
                  <c:v>1.4449513191118245E-2</c:v>
                </c:pt>
                <c:pt idx="207">
                  <c:v>1.4371749362180764E-2</c:v>
                </c:pt>
                <c:pt idx="208">
                  <c:v>1.5128579182445281E-2</c:v>
                </c:pt>
                <c:pt idx="209">
                  <c:v>1.8860896765598843E-2</c:v>
                </c:pt>
                <c:pt idx="210">
                  <c:v>1.6598028282631568E-2</c:v>
                </c:pt>
                <c:pt idx="211">
                  <c:v>1.4826450654847528E-2</c:v>
                </c:pt>
                <c:pt idx="212">
                  <c:v>1.3737565841565614E-2</c:v>
                </c:pt>
                <c:pt idx="213">
                  <c:v>1.349762095938401E-2</c:v>
                </c:pt>
                <c:pt idx="214">
                  <c:v>1.4149869538486395E-2</c:v>
                </c:pt>
                <c:pt idx="215">
                  <c:v>1.66797105654268E-2</c:v>
                </c:pt>
                <c:pt idx="216">
                  <c:v>1.477322404686298E-2</c:v>
                </c:pt>
                <c:pt idx="217">
                  <c:v>1.3522260647256487E-2</c:v>
                </c:pt>
                <c:pt idx="218">
                  <c:v>1.3115749973486178E-2</c:v>
                </c:pt>
                <c:pt idx="219">
                  <c:v>1.3629462271226788E-2</c:v>
                </c:pt>
                <c:pt idx="220">
                  <c:v>1.5194446104644072E-2</c:v>
                </c:pt>
                <c:pt idx="221">
                  <c:v>1.3826817592753339E-2</c:v>
                </c:pt>
                <c:pt idx="222">
                  <c:v>1.3268705933162574E-2</c:v>
                </c:pt>
                <c:pt idx="223">
                  <c:v>1.3619993010987359E-2</c:v>
                </c:pt>
                <c:pt idx="224">
                  <c:v>1.4618781428154195E-2</c:v>
                </c:pt>
                <c:pt idx="225">
                  <c:v>1.3938893459827632E-2</c:v>
                </c:pt>
                <c:pt idx="226">
                  <c:v>1.4122489561186989E-2</c:v>
                </c:pt>
                <c:pt idx="227">
                  <c:v>1.5057406104573526E-2</c:v>
                </c:pt>
                <c:pt idx="228">
                  <c:v>1.5085879064949022E-2</c:v>
                </c:pt>
                <c:pt idx="229">
                  <c:v>1.6429282299864463E-2</c:v>
                </c:pt>
                <c:pt idx="230">
                  <c:v>1.9245296121959427E-2</c:v>
                </c:pt>
                <c:pt idx="231">
                  <c:v>1.6994235634000147E-2</c:v>
                </c:pt>
                <c:pt idx="232">
                  <c:v>1.522480367121575E-2</c:v>
                </c:pt>
                <c:pt idx="233">
                  <c:v>1.4119250297070993E-2</c:v>
                </c:pt>
                <c:pt idx="234">
                  <c:v>1.3837622308646257E-2</c:v>
                </c:pt>
                <c:pt idx="235">
                  <c:v>1.4428247760670046E-2</c:v>
                </c:pt>
                <c:pt idx="236">
                  <c:v>1.6846519138197343E-2</c:v>
                </c:pt>
                <c:pt idx="237">
                  <c:v>1.49165048573586E-2</c:v>
                </c:pt>
                <c:pt idx="238">
                  <c:v>1.3629637094460238E-2</c:v>
                </c:pt>
                <c:pt idx="239">
                  <c:v>1.3175730627745122E-2</c:v>
                </c:pt>
                <c:pt idx="240">
                  <c:v>1.3638208383224158E-2</c:v>
                </c:pt>
                <c:pt idx="241">
                  <c:v>1.5080057077547206E-2</c:v>
                </c:pt>
                <c:pt idx="242">
                  <c:v>1.3652081148014561E-2</c:v>
                </c:pt>
                <c:pt idx="243">
                  <c:v>1.303527897526547E-2</c:v>
                </c:pt>
                <c:pt idx="244">
                  <c:v>1.3342625541292534E-2</c:v>
                </c:pt>
                <c:pt idx="245">
                  <c:v>1.4184151930489301E-2</c:v>
                </c:pt>
                <c:pt idx="246">
                  <c:v>1.3432633856434707E-2</c:v>
                </c:pt>
                <c:pt idx="247">
                  <c:v>1.3573839498682714E-2</c:v>
                </c:pt>
                <c:pt idx="248">
                  <c:v>1.4323105132931712E-2</c:v>
                </c:pt>
                <c:pt idx="249">
                  <c:v>1.430633129445795E-2</c:v>
                </c:pt>
                <c:pt idx="250">
                  <c:v>1.5469054445812633E-2</c:v>
                </c:pt>
                <c:pt idx="251">
                  <c:v>1.7352450948282017E-2</c:v>
                </c:pt>
                <c:pt idx="252">
                  <c:v>1.5442343406751447E-2</c:v>
                </c:pt>
                <c:pt idx="253">
                  <c:v>1.4156001057949834E-2</c:v>
                </c:pt>
                <c:pt idx="254">
                  <c:v>1.3670652584805314E-2</c:v>
                </c:pt>
                <c:pt idx="255">
                  <c:v>1.4069438450675353E-2</c:v>
                </c:pt>
                <c:pt idx="256">
                  <c:v>1.5351056472076277E-2</c:v>
                </c:pt>
                <c:pt idx="257">
                  <c:v>1.3902792486127418E-2</c:v>
                </c:pt>
                <c:pt idx="258">
                  <c:v>1.3247200575853659E-2</c:v>
                </c:pt>
                <c:pt idx="259">
                  <c:v>1.3500258788727144E-2</c:v>
                </c:pt>
                <c:pt idx="260">
                  <c:v>1.4155615346635625E-2</c:v>
                </c:pt>
                <c:pt idx="261">
                  <c:v>1.3352469362230029E-2</c:v>
                </c:pt>
                <c:pt idx="262">
                  <c:v>1.3444828387815431E-2</c:v>
                </c:pt>
                <c:pt idx="263">
                  <c:v>1.3974515627084415E-2</c:v>
                </c:pt>
                <c:pt idx="264">
                  <c:v>1.3909290685112298E-2</c:v>
                </c:pt>
                <c:pt idx="265">
                  <c:v>1.4844927022994643E-2</c:v>
                </c:pt>
                <c:pt idx="266">
                  <c:v>1.598785890816258E-2</c:v>
                </c:pt>
                <c:pt idx="267">
                  <c:v>1.4556986036412641E-2</c:v>
                </c:pt>
                <c:pt idx="268">
                  <c:v>1.3884092787879308E-2</c:v>
                </c:pt>
                <c:pt idx="269">
                  <c:v>1.4078288344173885E-2</c:v>
                </c:pt>
                <c:pt idx="270">
                  <c:v>1.4535563628846794E-2</c:v>
                </c:pt>
                <c:pt idx="271">
                  <c:v>1.3705878597492116E-2</c:v>
                </c:pt>
                <c:pt idx="272">
                  <c:v>1.3747275596686846E-2</c:v>
                </c:pt>
                <c:pt idx="273">
                  <c:v>1.4040395923402001E-2</c:v>
                </c:pt>
                <c:pt idx="274">
                  <c:v>1.3927508891785416E-2</c:v>
                </c:pt>
                <c:pt idx="275">
                  <c:v>1.4600066969031439E-2</c:v>
                </c:pt>
                <c:pt idx="276">
                  <c:v>1.5293582264670593E-2</c:v>
                </c:pt>
                <c:pt idx="277">
                  <c:v>1.4461108619353449E-2</c:v>
                </c:pt>
                <c:pt idx="278">
                  <c:v>1.4454122131639846E-2</c:v>
                </c:pt>
                <c:pt idx="279">
                  <c:v>1.4515103605272195E-2</c:v>
                </c:pt>
                <c:pt idx="280">
                  <c:v>1.4359405447657543E-2</c:v>
                </c:pt>
                <c:pt idx="281">
                  <c:v>1.4753370360497779E-2</c:v>
                </c:pt>
                <c:pt idx="282">
                  <c:v>1.5360782270748235E-2</c:v>
                </c:pt>
                <c:pt idx="283">
                  <c:v>1.5169687867629896E-2</c:v>
                </c:pt>
                <c:pt idx="284">
                  <c:v>1.5292867710127849E-2</c:v>
                </c:pt>
                <c:pt idx="285">
                  <c:v>1.6179973823111482E-2</c:v>
                </c:pt>
                <c:pt idx="286">
                  <c:v>2.9444709536092455E-2</c:v>
                </c:pt>
                <c:pt idx="287">
                  <c:v>2.6649815922464661E-2</c:v>
                </c:pt>
                <c:pt idx="288">
                  <c:v>2.4041681260235898E-2</c:v>
                </c:pt>
                <c:pt idx="289">
                  <c:v>2.1687788430760656E-2</c:v>
                </c:pt>
                <c:pt idx="290">
                  <c:v>1.9679580186000516E-2</c:v>
                </c:pt>
                <c:pt idx="291">
                  <c:v>1.8132279659715787E-2</c:v>
                </c:pt>
                <c:pt idx="292">
                  <c:v>1.7170941590378557E-2</c:v>
                </c:pt>
                <c:pt idx="293">
                  <c:v>1.689588365914526E-2</c:v>
                </c:pt>
                <c:pt idx="294">
                  <c:v>1.7339795680101945E-2</c:v>
                </c:pt>
                <c:pt idx="295">
                  <c:v>1.845085699671218E-2</c:v>
                </c:pt>
                <c:pt idx="296">
                  <c:v>2.63848676737185E-2</c:v>
                </c:pt>
                <c:pt idx="297">
                  <c:v>2.3657077150822579E-2</c:v>
                </c:pt>
                <c:pt idx="298">
                  <c:v>2.1159426659563312E-2</c:v>
                </c:pt>
                <c:pt idx="299">
                  <c:v>1.8982975369631495E-2</c:v>
                </c:pt>
                <c:pt idx="300">
                  <c:v>1.7249734817896881E-2</c:v>
                </c:pt>
                <c:pt idx="301">
                  <c:v>1.6103457044144971E-2</c:v>
                </c:pt>
                <c:pt idx="302">
                  <c:v>1.5673458021081724E-2</c:v>
                </c:pt>
                <c:pt idx="303">
                  <c:v>1.6017528647882306E-2</c:v>
                </c:pt>
                <c:pt idx="304">
                  <c:v>1.7088977199176677E-2</c:v>
                </c:pt>
                <c:pt idx="305">
                  <c:v>2.3569274379817172E-2</c:v>
                </c:pt>
                <c:pt idx="306">
                  <c:v>2.0959032422213156E-2</c:v>
                </c:pt>
                <c:pt idx="307">
                  <c:v>1.8644553237897352E-2</c:v>
                </c:pt>
                <c:pt idx="308">
                  <c:v>1.6748900587421425E-2</c:v>
                </c:pt>
                <c:pt idx="309">
                  <c:v>1.5427247207943263E-2</c:v>
                </c:pt>
                <c:pt idx="310">
                  <c:v>1.483382021004E-2</c:v>
                </c:pt>
                <c:pt idx="311">
                  <c:v>1.5054981491643209E-2</c:v>
                </c:pt>
                <c:pt idx="312">
                  <c:v>1.6057107257684323E-2</c:v>
                </c:pt>
                <c:pt idx="313">
                  <c:v>2.1095954056625801E-2</c:v>
                </c:pt>
                <c:pt idx="314">
                  <c:v>1.8683787382848326E-2</c:v>
                </c:pt>
                <c:pt idx="315">
                  <c:v>1.666422888875535E-2</c:v>
                </c:pt>
                <c:pt idx="316">
                  <c:v>1.5194641095705582E-2</c:v>
                </c:pt>
                <c:pt idx="317">
                  <c:v>1.4443880769340075E-2</c:v>
                </c:pt>
                <c:pt idx="318">
                  <c:v>1.4523850915361585E-2</c:v>
                </c:pt>
                <c:pt idx="319">
                  <c:v>1.5421633481104315E-2</c:v>
                </c:pt>
                <c:pt idx="320">
                  <c:v>1.9098350464480347E-2</c:v>
                </c:pt>
                <c:pt idx="321">
                  <c:v>1.7001938477605189E-2</c:v>
                </c:pt>
                <c:pt idx="322">
                  <c:v>1.5425719225033156E-2</c:v>
                </c:pt>
                <c:pt idx="323">
                  <c:v>1.4539865725101237E-2</c:v>
                </c:pt>
                <c:pt idx="324">
                  <c:v>1.4471715761426508E-2</c:v>
                </c:pt>
                <c:pt idx="325">
                  <c:v>1.52322486500253E-2</c:v>
                </c:pt>
                <c:pt idx="326">
                  <c:v>1.7737920777409513E-2</c:v>
                </c:pt>
                <c:pt idx="327">
                  <c:v>1.6100529282037621E-2</c:v>
                </c:pt>
                <c:pt idx="328">
                  <c:v>1.5112519078531422E-2</c:v>
                </c:pt>
                <c:pt idx="329">
                  <c:v>1.4903603682241822E-2</c:v>
                </c:pt>
                <c:pt idx="330">
                  <c:v>1.5505307240323176E-2</c:v>
                </c:pt>
                <c:pt idx="331">
                  <c:v>1.7166822847687484E-2</c:v>
                </c:pt>
                <c:pt idx="332">
                  <c:v>1.6111092590632068E-2</c:v>
                </c:pt>
                <c:pt idx="333">
                  <c:v>1.5779821999157163E-2</c:v>
                </c:pt>
                <c:pt idx="334">
                  <c:v>1.6217467134771072E-2</c:v>
                </c:pt>
                <c:pt idx="335">
                  <c:v>1.7462671903199795E-2</c:v>
                </c:pt>
                <c:pt idx="336">
                  <c:v>1.7031931655064191E-2</c:v>
                </c:pt>
                <c:pt idx="337">
                  <c:v>1.7314631439562383E-2</c:v>
                </c:pt>
                <c:pt idx="338">
                  <c:v>1.8584109971973687E-2</c:v>
                </c:pt>
                <c:pt idx="339">
                  <c:v>1.8729260996588344E-2</c:v>
                </c:pt>
                <c:pt idx="340">
                  <c:v>2.0395404066571206E-2</c:v>
                </c:pt>
                <c:pt idx="341">
                  <c:v>2.6442912863142071E-2</c:v>
                </c:pt>
                <c:pt idx="342">
                  <c:v>2.369356882661651E-2</c:v>
                </c:pt>
                <c:pt idx="343">
                  <c:v>2.1168626475910848E-2</c:v>
                </c:pt>
                <c:pt idx="344">
                  <c:v>1.8957960599515555E-2</c:v>
                </c:pt>
                <c:pt idx="345">
                  <c:v>1.7183299258002379E-2</c:v>
                </c:pt>
                <c:pt idx="346">
                  <c:v>1.5990473938206975E-2</c:v>
                </c:pt>
                <c:pt idx="347">
                  <c:v>1.5514274724524456E-2</c:v>
                </c:pt>
                <c:pt idx="348">
                  <c:v>1.5819550049501748E-2</c:v>
                </c:pt>
                <c:pt idx="349">
                  <c:v>1.6863913762543193E-2</c:v>
                </c:pt>
                <c:pt idx="350">
                  <c:v>2.3441876201087324E-2</c:v>
                </c:pt>
                <c:pt idx="351">
                  <c:v>2.0783488903572796E-2</c:v>
                </c:pt>
                <c:pt idx="352">
                  <c:v>1.8410682829919509E-2</c:v>
                </c:pt>
                <c:pt idx="353">
                  <c:v>1.6447524239349309E-2</c:v>
                </c:pt>
                <c:pt idx="354">
                  <c:v>1.5055126868452607E-2</c:v>
                </c:pt>
                <c:pt idx="355">
                  <c:v>1.4400021407190846E-2</c:v>
                </c:pt>
                <c:pt idx="356">
                  <c:v>1.4581919219054674E-2</c:v>
                </c:pt>
                <c:pt idx="357">
                  <c:v>1.5571515654413608E-2</c:v>
                </c:pt>
                <c:pt idx="358">
                  <c:v>2.0736311366855342E-2</c:v>
                </c:pt>
                <c:pt idx="359">
                  <c:v>1.8240086304755872E-2</c:v>
                </c:pt>
                <c:pt idx="360">
                  <c:v>1.6123736160947373E-2</c:v>
                </c:pt>
                <c:pt idx="361">
                  <c:v>1.4553933050961568E-2</c:v>
                </c:pt>
                <c:pt idx="362">
                  <c:v>1.371958624729739E-2</c:v>
                </c:pt>
                <c:pt idx="363">
                  <c:v>1.3755184710621747E-2</c:v>
                </c:pt>
                <c:pt idx="364">
                  <c:v>1.4654389995176986E-2</c:v>
                </c:pt>
                <c:pt idx="365">
                  <c:v>1.845661909765527E-2</c:v>
                </c:pt>
                <c:pt idx="366">
                  <c:v>1.6236601120358952E-2</c:v>
                </c:pt>
                <c:pt idx="367">
                  <c:v>1.4531882997343469E-2</c:v>
                </c:pt>
                <c:pt idx="368">
                  <c:v>1.3538537994792845E-2</c:v>
                </c:pt>
                <c:pt idx="369">
                  <c:v>1.3415527522447606E-2</c:v>
                </c:pt>
                <c:pt idx="370">
                  <c:v>1.4185511145382792E-2</c:v>
                </c:pt>
                <c:pt idx="371">
                  <c:v>1.6777309023361942E-2</c:v>
                </c:pt>
                <c:pt idx="372">
                  <c:v>1.4991091141575713E-2</c:v>
                </c:pt>
                <c:pt idx="373">
                  <c:v>1.3876437195685648E-2</c:v>
                </c:pt>
                <c:pt idx="374">
                  <c:v>1.3599492084549223E-2</c:v>
                </c:pt>
                <c:pt idx="375">
                  <c:v>1.4209322318490645E-2</c:v>
                </c:pt>
                <c:pt idx="376">
                  <c:v>1.5889887908714779E-2</c:v>
                </c:pt>
                <c:pt idx="377">
                  <c:v>1.4697535215984606E-2</c:v>
                </c:pt>
                <c:pt idx="378">
                  <c:v>1.428686547776753E-2</c:v>
                </c:pt>
                <c:pt idx="379">
                  <c:v>1.4723433329752745E-2</c:v>
                </c:pt>
                <c:pt idx="380">
                  <c:v>1.5927275585433557E-2</c:v>
                </c:pt>
                <c:pt idx="381">
                  <c:v>1.5410431511540323E-2</c:v>
                </c:pt>
                <c:pt idx="382">
                  <c:v>1.5679689768950549E-2</c:v>
                </c:pt>
                <c:pt idx="383">
                  <c:v>1.6883329278725365E-2</c:v>
                </c:pt>
                <c:pt idx="384">
                  <c:v>1.7003658060997694E-2</c:v>
                </c:pt>
                <c:pt idx="385">
                  <c:v>1.8617052334622474E-2</c:v>
                </c:pt>
                <c:pt idx="386">
                  <c:v>2.3563580143406641E-2</c:v>
                </c:pt>
                <c:pt idx="387">
                  <c:v>2.0888649220237528E-2</c:v>
                </c:pt>
                <c:pt idx="388">
                  <c:v>1.8493160989907661E-2</c:v>
                </c:pt>
                <c:pt idx="389">
                  <c:v>1.6499282427799265E-2</c:v>
                </c:pt>
                <c:pt idx="390">
                  <c:v>1.5067302942035088E-2</c:v>
                </c:pt>
                <c:pt idx="391">
                  <c:v>1.4366241517633041E-2</c:v>
                </c:pt>
                <c:pt idx="392">
                  <c:v>1.4502487814854312E-2</c:v>
                </c:pt>
                <c:pt idx="393">
                  <c:v>1.5453911814753016E-2</c:v>
                </c:pt>
                <c:pt idx="394">
                  <c:v>2.0655745567728284E-2</c:v>
                </c:pt>
                <c:pt idx="395">
                  <c:v>1.8111528653154831E-2</c:v>
                </c:pt>
                <c:pt idx="396">
                  <c:v>1.5936219609132544E-2</c:v>
                </c:pt>
                <c:pt idx="397">
                  <c:v>1.4299185319034203E-2</c:v>
                </c:pt>
                <c:pt idx="398">
                  <c:v>1.3399189760086111E-2</c:v>
                </c:pt>
                <c:pt idx="399">
                  <c:v>1.3385733141917933E-2</c:v>
                </c:pt>
                <c:pt idx="400">
                  <c:v>1.4261325231114192E-2</c:v>
                </c:pt>
                <c:pt idx="401">
                  <c:v>1.8117849510341868E-2</c:v>
                </c:pt>
                <c:pt idx="402">
                  <c:v>1.5808175233044969E-2</c:v>
                </c:pt>
                <c:pt idx="403">
                  <c:v>1.4003867951357161E-2</c:v>
                </c:pt>
                <c:pt idx="404">
                  <c:v>1.291844460763642E-2</c:v>
                </c:pt>
                <c:pt idx="405">
                  <c:v>1.2737035944175681E-2</c:v>
                </c:pt>
                <c:pt idx="406">
                  <c:v>1.3496145312162526E-2</c:v>
                </c:pt>
                <c:pt idx="407">
                  <c:v>1.6125515400654735E-2</c:v>
                </c:pt>
                <c:pt idx="408">
                  <c:v>1.4210857411850767E-2</c:v>
                </c:pt>
                <c:pt idx="409">
                  <c:v>1.2978161268233852E-2</c:v>
                </c:pt>
                <c:pt idx="410">
                  <c:v>1.2628731191602233E-2</c:v>
                </c:pt>
                <c:pt idx="411">
                  <c:v>1.3232725085799205E-2</c:v>
                </c:pt>
                <c:pt idx="412">
                  <c:v>1.4899233306811475E-2</c:v>
                </c:pt>
                <c:pt idx="413">
                  <c:v>1.3571207120147455E-2</c:v>
                </c:pt>
                <c:pt idx="414">
                  <c:v>1.3074255326641436E-2</c:v>
                </c:pt>
                <c:pt idx="415">
                  <c:v>1.3500467476188127E-2</c:v>
                </c:pt>
                <c:pt idx="416">
                  <c:v>1.4632880422580423E-2</c:v>
                </c:pt>
                <c:pt idx="417">
                  <c:v>1.4020912493579635E-2</c:v>
                </c:pt>
                <c:pt idx="418">
                  <c:v>1.426950471897424E-2</c:v>
                </c:pt>
                <c:pt idx="419">
                  <c:v>1.5376422078265277E-2</c:v>
                </c:pt>
                <c:pt idx="420">
                  <c:v>1.5465233323295953E-2</c:v>
                </c:pt>
                <c:pt idx="421">
                  <c:v>1.699784258466585E-2</c:v>
                </c:pt>
                <c:pt idx="422">
                  <c:v>2.0857490863618385E-2</c:v>
                </c:pt>
                <c:pt idx="423">
                  <c:v>1.8304755562825722E-2</c:v>
                </c:pt>
                <c:pt idx="424">
                  <c:v>1.6114006559040633E-2</c:v>
                </c:pt>
                <c:pt idx="425">
                  <c:v>1.4450824150751412E-2</c:v>
                </c:pt>
                <c:pt idx="426">
                  <c:v>1.3511454768758488E-2</c:v>
                </c:pt>
                <c:pt idx="427">
                  <c:v>1.3448437878861739E-2</c:v>
                </c:pt>
                <c:pt idx="428">
                  <c:v>1.4273385473535367E-2</c:v>
                </c:pt>
                <c:pt idx="429">
                  <c:v>1.8099061786581702E-2</c:v>
                </c:pt>
                <c:pt idx="430">
                  <c:v>1.5744188666530788E-2</c:v>
                </c:pt>
                <c:pt idx="431">
                  <c:v>1.388347564773538E-2</c:v>
                </c:pt>
                <c:pt idx="432">
                  <c:v>1.2735395378092377E-2</c:v>
                </c:pt>
                <c:pt idx="433">
                  <c:v>1.2497906820445675E-2</c:v>
                </c:pt>
                <c:pt idx="434">
                  <c:v>1.3220175279847042E-2</c:v>
                </c:pt>
                <c:pt idx="435">
                  <c:v>1.5820754726616846E-2</c:v>
                </c:pt>
                <c:pt idx="436">
                  <c:v>1.3815715958882592E-2</c:v>
                </c:pt>
                <c:pt idx="437">
                  <c:v>1.2490785198473619E-2</c:v>
                </c:pt>
                <c:pt idx="438">
                  <c:v>1.207200904462147E-2</c:v>
                </c:pt>
                <c:pt idx="439">
                  <c:v>1.264970631886638E-2</c:v>
                </c:pt>
                <c:pt idx="440">
                  <c:v>1.4254671263193894E-2</c:v>
                </c:pt>
                <c:pt idx="441">
                  <c:v>1.2808109473392996E-2</c:v>
                </c:pt>
                <c:pt idx="442">
                  <c:v>1.2225696864565368E-2</c:v>
                </c:pt>
                <c:pt idx="443">
                  <c:v>1.2627574567081282E-2</c:v>
                </c:pt>
                <c:pt idx="444">
                  <c:v>1.364822903018454E-2</c:v>
                </c:pt>
                <c:pt idx="445">
                  <c:v>1.293833293917749E-2</c:v>
                </c:pt>
                <c:pt idx="446">
                  <c:v>1.3156547530061558E-2</c:v>
                </c:pt>
                <c:pt idx="447">
                  <c:v>1.4125572152507938E-2</c:v>
                </c:pt>
                <c:pt idx="448">
                  <c:v>1.417506191677061E-2</c:v>
                </c:pt>
                <c:pt idx="449">
                  <c:v>1.5587448532320258E-2</c:v>
                </c:pt>
                <c:pt idx="450">
                  <c:v>1.8401236060147E-2</c:v>
                </c:pt>
                <c:pt idx="451">
                  <c:v>1.6049001017123209E-2</c:v>
                </c:pt>
                <c:pt idx="452">
                  <c:v>1.4181091595329312E-2</c:v>
                </c:pt>
                <c:pt idx="453">
                  <c:v>1.3007853939207191E-2</c:v>
                </c:pt>
                <c:pt idx="454">
                  <c:v>1.2722937925397065E-2</c:v>
                </c:pt>
                <c:pt idx="455">
                  <c:v>1.338319897798715E-2</c:v>
                </c:pt>
                <c:pt idx="456">
                  <c:v>1.5883016011275397E-2</c:v>
                </c:pt>
                <c:pt idx="457">
                  <c:v>1.3838693249174132E-2</c:v>
                </c:pt>
                <c:pt idx="458">
                  <c:v>1.2462609845300269E-2</c:v>
                </c:pt>
                <c:pt idx="459">
                  <c:v>1.1987153020994734E-2</c:v>
                </c:pt>
                <c:pt idx="460">
                  <c:v>1.2515390965624753E-2</c:v>
                </c:pt>
                <c:pt idx="461">
                  <c:v>1.4004072151495668E-2</c:v>
                </c:pt>
                <c:pt idx="462">
                  <c:v>1.2475077481865318E-2</c:v>
                </c:pt>
                <c:pt idx="463">
                  <c:v>1.1819858696867754E-2</c:v>
                </c:pt>
                <c:pt idx="464">
                  <c:v>1.2180252096341349E-2</c:v>
                </c:pt>
                <c:pt idx="465">
                  <c:v>1.3043657699083179E-2</c:v>
                </c:pt>
                <c:pt idx="466">
                  <c:v>1.2244378940927877E-2</c:v>
                </c:pt>
                <c:pt idx="467">
                  <c:v>1.2420974406557435E-2</c:v>
                </c:pt>
                <c:pt idx="468">
                  <c:v>1.3203753468392873E-2</c:v>
                </c:pt>
                <c:pt idx="469">
                  <c:v>1.3206104772271899E-2</c:v>
                </c:pt>
                <c:pt idx="470">
                  <c:v>1.4447156650152004E-2</c:v>
                </c:pt>
                <c:pt idx="471">
                  <c:v>1.6308096131085852E-2</c:v>
                </c:pt>
                <c:pt idx="472">
                  <c:v>1.4277770783445059E-2</c:v>
                </c:pt>
                <c:pt idx="473">
                  <c:v>1.2896645212984186E-2</c:v>
                </c:pt>
                <c:pt idx="474">
                  <c:v>1.238386680466602E-2</c:v>
                </c:pt>
                <c:pt idx="475">
                  <c:v>1.2843863764574914E-2</c:v>
                </c:pt>
                <c:pt idx="476">
                  <c:v>1.4168355766937542E-2</c:v>
                </c:pt>
                <c:pt idx="477">
                  <c:v>1.2606241802627458E-2</c:v>
                </c:pt>
                <c:pt idx="478">
                  <c:v>1.1902114926148302E-2</c:v>
                </c:pt>
                <c:pt idx="479">
                  <c:v>1.2205381072514813E-2</c:v>
                </c:pt>
                <c:pt idx="480">
                  <c:v>1.2872829564356741E-2</c:v>
                </c:pt>
                <c:pt idx="481">
                  <c:v>1.2006625519467001E-2</c:v>
                </c:pt>
                <c:pt idx="482">
                  <c:v>1.213162609948007E-2</c:v>
                </c:pt>
                <c:pt idx="483">
                  <c:v>1.2682913978425109E-2</c:v>
                </c:pt>
                <c:pt idx="484">
                  <c:v>1.2632494230349364E-2</c:v>
                </c:pt>
                <c:pt idx="485">
                  <c:v>1.3644852623314578E-2</c:v>
                </c:pt>
                <c:pt idx="486">
                  <c:v>1.4733650524034202E-2</c:v>
                </c:pt>
                <c:pt idx="487">
                  <c:v>1.3187759131320457E-2</c:v>
                </c:pt>
                <c:pt idx="488">
                  <c:v>1.2462804825889288E-2</c:v>
                </c:pt>
                <c:pt idx="489">
                  <c:v>1.2700157378230518E-2</c:v>
                </c:pt>
                <c:pt idx="490">
                  <c:v>1.3152656010355748E-2</c:v>
                </c:pt>
                <c:pt idx="491">
                  <c:v>1.2251660352459968E-2</c:v>
                </c:pt>
                <c:pt idx="492">
                  <c:v>1.231998306567271E-2</c:v>
                </c:pt>
                <c:pt idx="493">
                  <c:v>1.2612826512158585E-2</c:v>
                </c:pt>
                <c:pt idx="494">
                  <c:v>1.2508737027175943E-2</c:v>
                </c:pt>
                <c:pt idx="495">
                  <c:v>1.3242112945506975E-2</c:v>
                </c:pt>
                <c:pt idx="496">
                  <c:v>1.3855860260992914E-2</c:v>
                </c:pt>
                <c:pt idx="497">
                  <c:v>1.2952111439105518E-2</c:v>
                </c:pt>
                <c:pt idx="498">
                  <c:v>1.296524191717933E-2</c:v>
                </c:pt>
                <c:pt idx="499">
                  <c:v>1.300078315253105E-2</c:v>
                </c:pt>
                <c:pt idx="500">
                  <c:v>1.2847839423884476E-2</c:v>
                </c:pt>
                <c:pt idx="501">
                  <c:v>1.3275352790897772E-2</c:v>
                </c:pt>
                <c:pt idx="502">
                  <c:v>1.3808230040237058E-2</c:v>
                </c:pt>
                <c:pt idx="503">
                  <c:v>1.361526121748838E-2</c:v>
                </c:pt>
                <c:pt idx="504">
                  <c:v>1.374140867945046E-2</c:v>
                </c:pt>
                <c:pt idx="505">
                  <c:v>1.4598887545981052E-2</c:v>
                </c:pt>
                <c:pt idx="506">
                  <c:v>2.6171991088459221E-2</c:v>
                </c:pt>
                <c:pt idx="507">
                  <c:v>2.3402414485104564E-2</c:v>
                </c:pt>
                <c:pt idx="508">
                  <c:v>2.0855236033476235E-2</c:v>
                </c:pt>
                <c:pt idx="509">
                  <c:v>1.8621941799192413E-2</c:v>
                </c:pt>
                <c:pt idx="510">
                  <c:v>1.6827969063857477E-2</c:v>
                </c:pt>
                <c:pt idx="511">
                  <c:v>1.5625375174276913E-2</c:v>
                </c:pt>
                <c:pt idx="512">
                  <c:v>1.5155597511837164E-2</c:v>
                </c:pt>
                <c:pt idx="513">
                  <c:v>1.5485473923191079E-2</c:v>
                </c:pt>
                <c:pt idx="514">
                  <c:v>1.6567306642661851E-2</c:v>
                </c:pt>
                <c:pt idx="515">
                  <c:v>2.3141044952534068E-2</c:v>
                </c:pt>
                <c:pt idx="516">
                  <c:v>2.045683591901214E-2</c:v>
                </c:pt>
                <c:pt idx="517">
                  <c:v>1.8056142728188056E-2</c:v>
                </c:pt>
                <c:pt idx="518">
                  <c:v>1.6066562317594332E-2</c:v>
                </c:pt>
                <c:pt idx="519">
                  <c:v>1.4656484546804405E-2</c:v>
                </c:pt>
                <c:pt idx="520">
                  <c:v>1.4002093911891214E-2</c:v>
                </c:pt>
                <c:pt idx="521">
                  <c:v>1.4208191603622754E-2</c:v>
                </c:pt>
                <c:pt idx="522">
                  <c:v>1.5239906937190325E-2</c:v>
                </c:pt>
                <c:pt idx="523">
                  <c:v>2.040151797275648E-2</c:v>
                </c:pt>
                <c:pt idx="524">
                  <c:v>1.7873734865405944E-2</c:v>
                </c:pt>
                <c:pt idx="525">
                  <c:v>1.5725356611730013E-2</c:v>
                </c:pt>
                <c:pt idx="526">
                  <c:v>1.4130508241902134E-2</c:v>
                </c:pt>
                <c:pt idx="527">
                  <c:v>1.3289983666806291E-2</c:v>
                </c:pt>
                <c:pt idx="528">
                  <c:v>1.3347061423198074E-2</c:v>
                </c:pt>
                <c:pt idx="529">
                  <c:v>1.4290990570509693E-2</c:v>
                </c:pt>
                <c:pt idx="530">
                  <c:v>1.8086321898796848E-2</c:v>
                </c:pt>
                <c:pt idx="531">
                  <c:v>1.5831544157060624E-2</c:v>
                </c:pt>
                <c:pt idx="532">
                  <c:v>1.4097110379370404E-2</c:v>
                </c:pt>
                <c:pt idx="533">
                  <c:v>1.3091494635085623E-2</c:v>
                </c:pt>
                <c:pt idx="534">
                  <c:v>1.2985142378654503E-2</c:v>
                </c:pt>
                <c:pt idx="535">
                  <c:v>1.379886203599822E-2</c:v>
                </c:pt>
                <c:pt idx="536">
                  <c:v>1.6376424341039187E-2</c:v>
                </c:pt>
                <c:pt idx="537">
                  <c:v>1.4559681071087452E-2</c:v>
                </c:pt>
                <c:pt idx="538">
                  <c:v>1.3429420377176161E-2</c:v>
                </c:pt>
                <c:pt idx="539">
                  <c:v>1.3163674658816845E-2</c:v>
                </c:pt>
                <c:pt idx="540">
                  <c:v>1.3812433147732148E-2</c:v>
                </c:pt>
                <c:pt idx="541">
                  <c:v>1.5473804920101343E-2</c:v>
                </c:pt>
                <c:pt idx="542">
                  <c:v>1.426569190482164E-2</c:v>
                </c:pt>
                <c:pt idx="543">
                  <c:v>1.3861791818605751E-2</c:v>
                </c:pt>
                <c:pt idx="544">
                  <c:v>1.4330267248120929E-2</c:v>
                </c:pt>
                <c:pt idx="545">
                  <c:v>1.5519959192910717E-2</c:v>
                </c:pt>
                <c:pt idx="546">
                  <c:v>1.5007156569167079E-2</c:v>
                </c:pt>
                <c:pt idx="547">
                  <c:v>1.530125299818632E-2</c:v>
                </c:pt>
                <c:pt idx="548">
                  <c:v>1.6506930609006772E-2</c:v>
                </c:pt>
                <c:pt idx="549">
                  <c:v>1.6646280701597734E-2</c:v>
                </c:pt>
                <c:pt idx="550">
                  <c:v>1.8282984248973285E-2</c:v>
                </c:pt>
                <c:pt idx="551">
                  <c:v>2.3186422013977668E-2</c:v>
                </c:pt>
                <c:pt idx="552">
                  <c:v>2.0475493791994471E-2</c:v>
                </c:pt>
                <c:pt idx="553">
                  <c:v>1.8040219131786352E-2</c:v>
                </c:pt>
                <c:pt idx="554">
                  <c:v>1.6006909342557891E-2</c:v>
                </c:pt>
                <c:pt idx="555">
                  <c:v>1.4545128640200964E-2</c:v>
                </c:pt>
                <c:pt idx="556">
                  <c:v>1.3837209534449208E-2</c:v>
                </c:pt>
                <c:pt idx="557">
                  <c:v>1.3997998011202897E-2</c:v>
                </c:pt>
                <c:pt idx="558">
                  <c:v>1.4999583628359788E-2</c:v>
                </c:pt>
                <c:pt idx="559">
                  <c:v>2.0230388192411949E-2</c:v>
                </c:pt>
                <c:pt idx="560">
                  <c:v>1.7640254384655458E-2</c:v>
                </c:pt>
                <c:pt idx="561">
                  <c:v>1.5416112453409323E-2</c:v>
                </c:pt>
                <c:pt idx="562">
                  <c:v>1.3736901094428041E-2</c:v>
                </c:pt>
                <c:pt idx="563">
                  <c:v>1.2818594316896265E-2</c:v>
                </c:pt>
                <c:pt idx="564">
                  <c:v>1.28256870742024E-2</c:v>
                </c:pt>
                <c:pt idx="565">
                  <c:v>1.3756748077605054E-2</c:v>
                </c:pt>
                <c:pt idx="566">
                  <c:v>1.763820220877918E-2</c:v>
                </c:pt>
                <c:pt idx="567">
                  <c:v>1.5273848029275325E-2</c:v>
                </c:pt>
                <c:pt idx="568">
                  <c:v>1.3417997993968518E-2</c:v>
                </c:pt>
                <c:pt idx="569">
                  <c:v>1.2302962520954825E-2</c:v>
                </c:pt>
                <c:pt idx="570">
                  <c:v>1.2134705744229052E-2</c:v>
                </c:pt>
                <c:pt idx="571">
                  <c:v>1.2950183793566888E-2</c:v>
                </c:pt>
                <c:pt idx="572">
                  <c:v>1.5592398084854497E-2</c:v>
                </c:pt>
                <c:pt idx="573">
                  <c:v>1.362282726250791E-2</c:v>
                </c:pt>
                <c:pt idx="574">
                  <c:v>1.2353458920189674E-2</c:v>
                </c:pt>
                <c:pt idx="575">
                  <c:v>1.200843253895484E-2</c:v>
                </c:pt>
                <c:pt idx="576">
                  <c:v>1.2663527821013206E-2</c:v>
                </c:pt>
                <c:pt idx="577">
                  <c:v>1.4328946543694522E-2</c:v>
                </c:pt>
                <c:pt idx="578">
                  <c:v>1.2963469511035594E-2</c:v>
                </c:pt>
                <c:pt idx="579">
                  <c:v>1.2464042464472516E-2</c:v>
                </c:pt>
                <c:pt idx="580">
                  <c:v>1.2931401603458507E-2</c:v>
                </c:pt>
                <c:pt idx="581">
                  <c:v>1.4060358110810184E-2</c:v>
                </c:pt>
                <c:pt idx="582">
                  <c:v>1.3442499434244345E-2</c:v>
                </c:pt>
                <c:pt idx="583">
                  <c:v>1.3721366256908379E-2</c:v>
                </c:pt>
                <c:pt idx="584">
                  <c:v>1.4840746662250045E-2</c:v>
                </c:pt>
                <c:pt idx="585">
                  <c:v>1.4950891961768006E-2</c:v>
                </c:pt>
                <c:pt idx="586">
                  <c:v>1.6522136148774329E-2</c:v>
                </c:pt>
                <c:pt idx="587">
                  <c:v>2.0347608251347404E-2</c:v>
                </c:pt>
                <c:pt idx="588">
                  <c:v>1.7736872209708494E-2</c:v>
                </c:pt>
                <c:pt idx="589">
                  <c:v>1.5483413386520699E-2</c:v>
                </c:pt>
                <c:pt idx="590">
                  <c:v>1.3763848462307979E-2</c:v>
                </c:pt>
                <c:pt idx="591">
                  <c:v>1.279527017964051E-2</c:v>
                </c:pt>
                <c:pt idx="592">
                  <c:v>1.2749993471674723E-2</c:v>
                </c:pt>
                <c:pt idx="593">
                  <c:v>1.3637217757542369E-2</c:v>
                </c:pt>
                <c:pt idx="594">
                  <c:v>1.7515912731008686E-2</c:v>
                </c:pt>
                <c:pt idx="595">
                  <c:v>1.508817288996518E-2</c:v>
                </c:pt>
                <c:pt idx="596">
                  <c:v>1.3155481883829976E-2</c:v>
                </c:pt>
                <c:pt idx="597">
                  <c:v>1.1960285369304852E-2</c:v>
                </c:pt>
                <c:pt idx="598">
                  <c:v>1.1730222875792567E-2</c:v>
                </c:pt>
                <c:pt idx="599">
                  <c:v>1.2518618589822809E-2</c:v>
                </c:pt>
                <c:pt idx="600">
                  <c:v>1.5158112223724063E-2</c:v>
                </c:pt>
                <c:pt idx="601">
                  <c:v>1.3072429639057939E-2</c:v>
                </c:pt>
                <c:pt idx="602">
                  <c:v>1.1686592627038842E-2</c:v>
                </c:pt>
                <c:pt idx="603">
                  <c:v>1.1261991736532541E-2</c:v>
                </c:pt>
                <c:pt idx="604">
                  <c:v>1.1901951461765687E-2</c:v>
                </c:pt>
                <c:pt idx="605">
                  <c:v>1.3524372950728735E-2</c:v>
                </c:pt>
                <c:pt idx="606">
                  <c:v>1.2012618462077714E-2</c:v>
                </c:pt>
                <c:pt idx="607">
                  <c:v>1.1413383416043994E-2</c:v>
                </c:pt>
                <c:pt idx="608">
                  <c:v>1.1865733005968753E-2</c:v>
                </c:pt>
                <c:pt idx="609">
                  <c:v>1.2892947350023689E-2</c:v>
                </c:pt>
                <c:pt idx="610">
                  <c:v>1.2161279459804783E-2</c:v>
                </c:pt>
                <c:pt idx="611">
                  <c:v>1.2415044297528183E-2</c:v>
                </c:pt>
                <c:pt idx="612">
                  <c:v>1.3406216810392562E-2</c:v>
                </c:pt>
                <c:pt idx="613">
                  <c:v>1.347848522721224E-2</c:v>
                </c:pt>
                <c:pt idx="614">
                  <c:v>1.4946716599330803E-2</c:v>
                </c:pt>
                <c:pt idx="615">
                  <c:v>1.7726198260046819E-2</c:v>
                </c:pt>
                <c:pt idx="616">
                  <c:v>1.5288079441355866E-2</c:v>
                </c:pt>
                <c:pt idx="617">
                  <c:v>1.333418993928988E-2</c:v>
                </c:pt>
                <c:pt idx="618">
                  <c:v>1.2101398669163889E-2</c:v>
                </c:pt>
                <c:pt idx="619">
                  <c:v>1.1817574126873676E-2</c:v>
                </c:pt>
                <c:pt idx="620">
                  <c:v>1.2547280455118437E-2</c:v>
                </c:pt>
                <c:pt idx="621">
                  <c:v>1.5103765710878089E-2</c:v>
                </c:pt>
                <c:pt idx="622">
                  <c:v>1.2957827558034464E-2</c:v>
                </c:pt>
                <c:pt idx="623">
                  <c:v>1.150021006240967E-2</c:v>
                </c:pt>
                <c:pt idx="624">
                  <c:v>1.1007831213116881E-2</c:v>
                </c:pt>
                <c:pt idx="625">
                  <c:v>1.1604216674748988E-2</c:v>
                </c:pt>
                <c:pt idx="626">
                  <c:v>1.3122823731209534E-2</c:v>
                </c:pt>
                <c:pt idx="627">
                  <c:v>1.1500623773474048E-2</c:v>
                </c:pt>
                <c:pt idx="628">
                  <c:v>1.0811483328328599E-2</c:v>
                </c:pt>
                <c:pt idx="629">
                  <c:v>1.1228534028072787E-2</c:v>
                </c:pt>
                <c:pt idx="630">
                  <c:v>1.2102578107510198E-2</c:v>
                </c:pt>
                <c:pt idx="631">
                  <c:v>1.126066292324413E-2</c:v>
                </c:pt>
                <c:pt idx="632">
                  <c:v>1.1476090021196043E-2</c:v>
                </c:pt>
                <c:pt idx="633">
                  <c:v>1.2284763780922433E-2</c:v>
                </c:pt>
                <c:pt idx="634">
                  <c:v>1.2309339620773454E-2</c:v>
                </c:pt>
                <c:pt idx="635">
                  <c:v>1.3621217845495009E-2</c:v>
                </c:pt>
                <c:pt idx="636">
                  <c:v>1.5433372781826589E-2</c:v>
                </c:pt>
                <c:pt idx="637">
                  <c:v>1.3290299383047755E-2</c:v>
                </c:pt>
                <c:pt idx="638">
                  <c:v>1.1817068166020867E-2</c:v>
                </c:pt>
                <c:pt idx="639">
                  <c:v>1.1279278455240765E-2</c:v>
                </c:pt>
                <c:pt idx="640">
                  <c:v>1.1805470129667168E-2</c:v>
                </c:pt>
                <c:pt idx="641">
                  <c:v>1.3161239529848032E-2</c:v>
                </c:pt>
                <c:pt idx="642">
                  <c:v>1.14863212715903E-2</c:v>
                </c:pt>
                <c:pt idx="643">
                  <c:v>1.0734100187135932E-2</c:v>
                </c:pt>
                <c:pt idx="644">
                  <c:v>1.1093881979806977E-2</c:v>
                </c:pt>
                <c:pt idx="645">
                  <c:v>1.1765482847632418E-2</c:v>
                </c:pt>
                <c:pt idx="646">
                  <c:v>1.0835969045453461E-2</c:v>
                </c:pt>
                <c:pt idx="647">
                  <c:v>1.0998992851677332E-2</c:v>
                </c:pt>
                <c:pt idx="648">
                  <c:v>1.1567803484262703E-2</c:v>
                </c:pt>
                <c:pt idx="649">
                  <c:v>1.1536030690430436E-2</c:v>
                </c:pt>
                <c:pt idx="650">
                  <c:v>1.2624606861197605E-2</c:v>
                </c:pt>
                <c:pt idx="651">
                  <c:v>1.36359023740755E-2</c:v>
                </c:pt>
                <c:pt idx="652">
                  <c:v>1.1971494887482696E-2</c:v>
                </c:pt>
                <c:pt idx="653">
                  <c:v>1.119211893288582E-2</c:v>
                </c:pt>
                <c:pt idx="654">
                  <c:v>1.1479474842336152E-2</c:v>
                </c:pt>
                <c:pt idx="655">
                  <c:v>1.1920178720938932E-2</c:v>
                </c:pt>
                <c:pt idx="656">
                  <c:v>1.0942751260481585E-2</c:v>
                </c:pt>
                <c:pt idx="657">
                  <c:v>1.1043773342456273E-2</c:v>
                </c:pt>
                <c:pt idx="658">
                  <c:v>1.1332370363680419E-2</c:v>
                </c:pt>
                <c:pt idx="659">
                  <c:v>1.1240553838366144E-2</c:v>
                </c:pt>
                <c:pt idx="660">
                  <c:v>1.2038841535497039E-2</c:v>
                </c:pt>
                <c:pt idx="661">
                  <c:v>1.2548490712112082E-2</c:v>
                </c:pt>
                <c:pt idx="662">
                  <c:v>1.1566298865893198E-2</c:v>
                </c:pt>
                <c:pt idx="663">
                  <c:v>1.1604391403235752E-2</c:v>
                </c:pt>
                <c:pt idx="664">
                  <c:v>1.1607800953684954E-2</c:v>
                </c:pt>
                <c:pt idx="665">
                  <c:v>1.1459929380563739E-2</c:v>
                </c:pt>
                <c:pt idx="666">
                  <c:v>1.1924621459210562E-2</c:v>
                </c:pt>
                <c:pt idx="667">
                  <c:v>1.2359989976240339E-2</c:v>
                </c:pt>
                <c:pt idx="668">
                  <c:v>1.2166338665903286E-2</c:v>
                </c:pt>
                <c:pt idx="669">
                  <c:v>1.2295095472820311E-2</c:v>
                </c:pt>
                <c:pt idx="670">
                  <c:v>1.3109234635847865E-2</c:v>
                </c:pt>
                <c:pt idx="671">
                  <c:v>2.2964463262608023E-2</c:v>
                </c:pt>
                <c:pt idx="672">
                  <c:v>2.0237207719934164E-2</c:v>
                </c:pt>
                <c:pt idx="673">
                  <c:v>1.7784559588052296E-2</c:v>
                </c:pt>
                <c:pt idx="674">
                  <c:v>1.5735454339272616E-2</c:v>
                </c:pt>
                <c:pt idx="675">
                  <c:v>1.4264868273728092E-2</c:v>
                </c:pt>
                <c:pt idx="676">
                  <c:v>1.3562315088192934E-2</c:v>
                </c:pt>
                <c:pt idx="677">
                  <c:v>1.374606468474405E-2</c:v>
                </c:pt>
                <c:pt idx="678">
                  <c:v>1.4783104483295784E-2</c:v>
                </c:pt>
                <c:pt idx="679">
                  <c:v>1.9981640031952321E-2</c:v>
                </c:pt>
                <c:pt idx="680">
                  <c:v>1.737003828005421E-2</c:v>
                </c:pt>
                <c:pt idx="681">
                  <c:v>1.5124103326006081E-2</c:v>
                </c:pt>
                <c:pt idx="682">
                  <c:v>1.3428579711272454E-2</c:v>
                </c:pt>
                <c:pt idx="683">
                  <c:v>1.2509315920122041E-2</c:v>
                </c:pt>
                <c:pt idx="684">
                  <c:v>1.2538229404424282E-2</c:v>
                </c:pt>
                <c:pt idx="685">
                  <c:v>1.3509233452999885E-2</c:v>
                </c:pt>
                <c:pt idx="686">
                  <c:v>1.7359275155664048E-2</c:v>
                </c:pt>
                <c:pt idx="687">
                  <c:v>1.4969001754894138E-2</c:v>
                </c:pt>
                <c:pt idx="688">
                  <c:v>1.3090667409537335E-2</c:v>
                </c:pt>
                <c:pt idx="689">
                  <c:v>1.196779482600502E-2</c:v>
                </c:pt>
                <c:pt idx="690">
                  <c:v>1.1817725366952504E-2</c:v>
                </c:pt>
                <c:pt idx="691">
                  <c:v>1.2675059478408898E-2</c:v>
                </c:pt>
                <c:pt idx="692">
                  <c:v>1.5284045918220746E-2</c:v>
                </c:pt>
                <c:pt idx="693">
                  <c:v>1.3289203413379917E-2</c:v>
                </c:pt>
                <c:pt idx="694">
                  <c:v>1.2007155165784574E-2</c:v>
                </c:pt>
                <c:pt idx="695">
                  <c:v>1.1675127539748609E-2</c:v>
                </c:pt>
                <c:pt idx="696">
                  <c:v>1.23698589743253E-2</c:v>
                </c:pt>
                <c:pt idx="697">
                  <c:v>1.4001386198058921E-2</c:v>
                </c:pt>
                <c:pt idx="698">
                  <c:v>1.2621963845735048E-2</c:v>
                </c:pt>
                <c:pt idx="699">
                  <c:v>1.2130832916993831E-2</c:v>
                </c:pt>
                <c:pt idx="700">
                  <c:v>1.2632031636998454E-2</c:v>
                </c:pt>
                <c:pt idx="701">
                  <c:v>1.3735162956470483E-2</c:v>
                </c:pt>
                <c:pt idx="702">
                  <c:v>1.3122657711781801E-2</c:v>
                </c:pt>
                <c:pt idx="703">
                  <c:v>1.3428386704347785E-2</c:v>
                </c:pt>
                <c:pt idx="704">
                  <c:v>1.4541310723283945E-2</c:v>
                </c:pt>
                <c:pt idx="705">
                  <c:v>1.4672199891455257E-2</c:v>
                </c:pt>
                <c:pt idx="706">
                  <c:v>1.62611150847067E-2</c:v>
                </c:pt>
                <c:pt idx="707">
                  <c:v>2.0010096163401169E-2</c:v>
                </c:pt>
                <c:pt idx="708">
                  <c:v>1.7364266349205324E-2</c:v>
                </c:pt>
                <c:pt idx="709">
                  <c:v>1.5073139132405598E-2</c:v>
                </c:pt>
                <c:pt idx="710">
                  <c:v>1.3321009002500524E-2</c:v>
                </c:pt>
                <c:pt idx="711">
                  <c:v>1.2339652283013229E-2</c:v>
                </c:pt>
                <c:pt idx="712">
                  <c:v>1.2314736544797767E-2</c:v>
                </c:pt>
                <c:pt idx="713">
                  <c:v>1.3251657781236739E-2</c:v>
                </c:pt>
                <c:pt idx="714">
                  <c:v>1.7129708419585169E-2</c:v>
                </c:pt>
                <c:pt idx="715">
                  <c:v>1.4656568358300271E-2</c:v>
                </c:pt>
                <c:pt idx="716">
                  <c:v>1.2679552895279111E-2</c:v>
                </c:pt>
                <c:pt idx="717">
                  <c:v>1.1458407711718221E-2</c:v>
                </c:pt>
                <c:pt idx="718">
                  <c:v>1.1242203210797996E-2</c:v>
                </c:pt>
                <c:pt idx="719">
                  <c:v>1.2084996436032591E-2</c:v>
                </c:pt>
                <c:pt idx="720">
                  <c:v>1.4718322008576293E-2</c:v>
                </c:pt>
                <c:pt idx="721">
                  <c:v>1.2581390081131839E-2</c:v>
                </c:pt>
                <c:pt idx="722">
                  <c:v>1.1158930507902377E-2</c:v>
                </c:pt>
                <c:pt idx="723">
                  <c:v>1.0738717980649119E-2</c:v>
                </c:pt>
                <c:pt idx="724">
                  <c:v>1.1431814280190588E-2</c:v>
                </c:pt>
                <c:pt idx="725">
                  <c:v>1.3038796918924886E-2</c:v>
                </c:pt>
                <c:pt idx="726">
                  <c:v>1.1486813607017659E-2</c:v>
                </c:pt>
                <c:pt idx="727">
                  <c:v>1.088354393903463E-2</c:v>
                </c:pt>
                <c:pt idx="728">
                  <c:v>1.1380867743039601E-2</c:v>
                </c:pt>
                <c:pt idx="729">
                  <c:v>1.2392359645139359E-2</c:v>
                </c:pt>
                <c:pt idx="730">
                  <c:v>1.1652533091470669E-2</c:v>
                </c:pt>
                <c:pt idx="731">
                  <c:v>1.1939868399705669E-2</c:v>
                </c:pt>
                <c:pt idx="732">
                  <c:v>1.293483900915204E-2</c:v>
                </c:pt>
                <c:pt idx="733">
                  <c:v>1.3030552489820279E-2</c:v>
                </c:pt>
                <c:pt idx="734">
                  <c:v>1.4533708162322984E-2</c:v>
                </c:pt>
                <c:pt idx="735">
                  <c:v>1.7240048476196465E-2</c:v>
                </c:pt>
                <c:pt idx="736">
                  <c:v>1.474004283768127E-2</c:v>
                </c:pt>
                <c:pt idx="737">
                  <c:v>1.2723459998478561E-2</c:v>
                </c:pt>
                <c:pt idx="738">
                  <c:v>1.1448667428579619E-2</c:v>
                </c:pt>
                <c:pt idx="739">
                  <c:v>1.1172534069256003E-2</c:v>
                </c:pt>
                <c:pt idx="740">
                  <c:v>1.1964406765413937E-2</c:v>
                </c:pt>
                <c:pt idx="741">
                  <c:v>1.4538425986937087E-2</c:v>
                </c:pt>
                <c:pt idx="742">
                  <c:v>1.23162376437231E-2</c:v>
                </c:pt>
                <c:pt idx="743">
                  <c:v>1.0797294535984783E-2</c:v>
                </c:pt>
                <c:pt idx="744">
                  <c:v>1.0297640942375208E-2</c:v>
                </c:pt>
                <c:pt idx="745">
                  <c:v>1.0957610539733926E-2</c:v>
                </c:pt>
                <c:pt idx="746">
                  <c:v>1.2477640763797482E-2</c:v>
                </c:pt>
                <c:pt idx="747">
                  <c:v>1.078376959478153E-2</c:v>
                </c:pt>
                <c:pt idx="748">
                  <c:v>1.0072528699260135E-2</c:v>
                </c:pt>
                <c:pt idx="749">
                  <c:v>1.0544665106234242E-2</c:v>
                </c:pt>
                <c:pt idx="750">
                  <c:v>1.1410360994280732E-2</c:v>
                </c:pt>
                <c:pt idx="751">
                  <c:v>1.0538918055791911E-2</c:v>
                </c:pt>
                <c:pt idx="752">
                  <c:v>1.0793944118565782E-2</c:v>
                </c:pt>
                <c:pt idx="753">
                  <c:v>1.1613797275048127E-2</c:v>
                </c:pt>
                <c:pt idx="754">
                  <c:v>1.1663062678248303E-2</c:v>
                </c:pt>
                <c:pt idx="755">
                  <c:v>1.3028559644439478E-2</c:v>
                </c:pt>
                <c:pt idx="756">
                  <c:v>1.4758473563305898E-2</c:v>
                </c:pt>
                <c:pt idx="757">
                  <c:v>1.2521897912511765E-2</c:v>
                </c:pt>
                <c:pt idx="758">
                  <c:v>1.0970473682802599E-2</c:v>
                </c:pt>
                <c:pt idx="759">
                  <c:v>1.0415019846351365E-2</c:v>
                </c:pt>
                <c:pt idx="760">
                  <c:v>1.1007359540591545E-2</c:v>
                </c:pt>
                <c:pt idx="761">
                  <c:v>1.2372659264662602E-2</c:v>
                </c:pt>
                <c:pt idx="762">
                  <c:v>1.0599168402094024E-2</c:v>
                </c:pt>
                <c:pt idx="763">
                  <c:v>9.8066316558533938E-3</c:v>
                </c:pt>
                <c:pt idx="764">
                  <c:v>1.0225735090073176E-2</c:v>
                </c:pt>
                <c:pt idx="765">
                  <c:v>1.0887239447021137E-2</c:v>
                </c:pt>
                <c:pt idx="766">
                  <c:v>9.9028250735444055E-3</c:v>
                </c:pt>
                <c:pt idx="767">
                  <c:v>1.0107813125438996E-2</c:v>
                </c:pt>
                <c:pt idx="768">
                  <c:v>1.0684586955553986E-2</c:v>
                </c:pt>
                <c:pt idx="769">
                  <c:v>1.0675609968295988E-2</c:v>
                </c:pt>
                <c:pt idx="770">
                  <c:v>1.183080488307982E-2</c:v>
                </c:pt>
                <c:pt idx="771">
                  <c:v>1.2735138783701857E-2</c:v>
                </c:pt>
                <c:pt idx="772">
                  <c:v>1.0959239903853156E-2</c:v>
                </c:pt>
                <c:pt idx="773">
                  <c:v>1.0128874507140362E-2</c:v>
                </c:pt>
                <c:pt idx="774">
                  <c:v>1.0471448723730587E-2</c:v>
                </c:pt>
                <c:pt idx="775">
                  <c:v>1.088933018350478E-2</c:v>
                </c:pt>
                <c:pt idx="776">
                  <c:v>9.8373258256188659E-3</c:v>
                </c:pt>
                <c:pt idx="777">
                  <c:v>9.9767944267945153E-3</c:v>
                </c:pt>
                <c:pt idx="778">
                  <c:v>1.025428661523164E-2</c:v>
                </c:pt>
                <c:pt idx="779">
                  <c:v>1.017939829583547E-2</c:v>
                </c:pt>
                <c:pt idx="780">
                  <c:v>1.1040942272557121E-2</c:v>
                </c:pt>
                <c:pt idx="781">
                  <c:v>1.1416344652543063E-2</c:v>
                </c:pt>
                <c:pt idx="782">
                  <c:v>1.0353255462568347E-2</c:v>
                </c:pt>
                <c:pt idx="783">
                  <c:v>1.042184495192116E-2</c:v>
                </c:pt>
                <c:pt idx="784">
                  <c:v>1.0385098645438486E-2</c:v>
                </c:pt>
                <c:pt idx="785">
                  <c:v>1.0246049748414294E-2</c:v>
                </c:pt>
                <c:pt idx="786">
                  <c:v>1.0749267540721905E-2</c:v>
                </c:pt>
                <c:pt idx="787">
                  <c:v>1.105712612188642E-2</c:v>
                </c:pt>
                <c:pt idx="788">
                  <c:v>1.0865210791344474E-2</c:v>
                </c:pt>
                <c:pt idx="789">
                  <c:v>1.0995498322938415E-2</c:v>
                </c:pt>
                <c:pt idx="790">
                  <c:v>1.174585451932343E-2</c:v>
                </c:pt>
                <c:pt idx="791">
                  <c:v>1.9853747401453164E-2</c:v>
                </c:pt>
                <c:pt idx="792">
                  <c:v>1.7199633903157478E-2</c:v>
                </c:pt>
                <c:pt idx="793">
                  <c:v>1.4901392787444748E-2</c:v>
                </c:pt>
                <c:pt idx="794">
                  <c:v>1.3146999189545388E-2</c:v>
                </c:pt>
                <c:pt idx="795">
                  <c:v>1.2173892083275354E-2</c:v>
                </c:pt>
                <c:pt idx="796">
                  <c:v>1.2170936254113406E-2</c:v>
                </c:pt>
                <c:pt idx="797">
                  <c:v>1.313878648236892E-2</c:v>
                </c:pt>
                <c:pt idx="798">
                  <c:v>1.6953913199423506E-2</c:v>
                </c:pt>
                <c:pt idx="799">
                  <c:v>1.4469470668253971E-2</c:v>
                </c:pt>
                <c:pt idx="800">
                  <c:v>1.2484549256840147E-2</c:v>
                </c:pt>
                <c:pt idx="801">
                  <c:v>1.1266336536541247E-2</c:v>
                </c:pt>
                <c:pt idx="802">
                  <c:v>1.107089372380889E-2</c:v>
                </c:pt>
                <c:pt idx="803">
                  <c:v>1.1948515255640276E-2</c:v>
                </c:pt>
                <c:pt idx="804">
                  <c:v>1.4521645561132336E-2</c:v>
                </c:pt>
                <c:pt idx="805">
                  <c:v>1.2372666914330536E-2</c:v>
                </c:pt>
                <c:pt idx="806">
                  <c:v>1.0947856567562208E-2</c:v>
                </c:pt>
                <c:pt idx="807">
                  <c:v>1.0544961847061891E-2</c:v>
                </c:pt>
                <c:pt idx="808">
                  <c:v>1.1274079003146883E-2</c:v>
                </c:pt>
                <c:pt idx="809">
                  <c:v>1.2825768474809292E-2</c:v>
                </c:pt>
                <c:pt idx="810">
                  <c:v>1.1268510188270964E-2</c:v>
                </c:pt>
                <c:pt idx="811">
                  <c:v>1.0678309175054428E-2</c:v>
                </c:pt>
                <c:pt idx="812">
                  <c:v>1.1208979966708259E-2</c:v>
                </c:pt>
                <c:pt idx="813">
                  <c:v>1.217791502156091E-2</c:v>
                </c:pt>
                <c:pt idx="814">
                  <c:v>1.1447920653553339E-2</c:v>
                </c:pt>
                <c:pt idx="815">
                  <c:v>1.176333882827821E-2</c:v>
                </c:pt>
                <c:pt idx="816">
                  <c:v>1.2738996102990037E-2</c:v>
                </c:pt>
                <c:pt idx="817">
                  <c:v>1.2857277427730535E-2</c:v>
                </c:pt>
                <c:pt idx="818">
                  <c:v>1.4368074306890305E-2</c:v>
                </c:pt>
                <c:pt idx="819">
                  <c:v>1.6959038553603388E-2</c:v>
                </c:pt>
                <c:pt idx="820">
                  <c:v>1.4429168486161445E-2</c:v>
                </c:pt>
                <c:pt idx="821">
                  <c:v>1.2383892676480749E-2</c:v>
                </c:pt>
                <c:pt idx="822">
                  <c:v>1.1094533452303568E-2</c:v>
                </c:pt>
                <c:pt idx="823">
                  <c:v>1.0834414026937628E-2</c:v>
                </c:pt>
                <c:pt idx="824">
                  <c:v>1.167254737283397E-2</c:v>
                </c:pt>
                <c:pt idx="825">
                  <c:v>1.4212546295442038E-2</c:v>
                </c:pt>
                <c:pt idx="826">
                  <c:v>1.1952517511530834E-2</c:v>
                </c:pt>
                <c:pt idx="827">
                  <c:v>1.0406577612642392E-2</c:v>
                </c:pt>
                <c:pt idx="828">
                  <c:v>9.9145862462121353E-3</c:v>
                </c:pt>
                <c:pt idx="829">
                  <c:v>1.0623989991539825E-2</c:v>
                </c:pt>
                <c:pt idx="830">
                  <c:v>1.210632420986031E-2</c:v>
                </c:pt>
                <c:pt idx="831">
                  <c:v>1.0378033371576598E-2</c:v>
                </c:pt>
                <c:pt idx="832">
                  <c:v>9.664990818929714E-3</c:v>
                </c:pt>
                <c:pt idx="833">
                  <c:v>1.0182754955293988E-2</c:v>
                </c:pt>
                <c:pt idx="834">
                  <c:v>1.1014028767218015E-2</c:v>
                </c:pt>
                <c:pt idx="835">
                  <c:v>1.013526559081474E-2</c:v>
                </c:pt>
                <c:pt idx="836">
                  <c:v>1.0426234583430923E-2</c:v>
                </c:pt>
                <c:pt idx="837">
                  <c:v>1.123537732488997E-2</c:v>
                </c:pt>
                <c:pt idx="838">
                  <c:v>1.1310294897474538E-2</c:v>
                </c:pt>
                <c:pt idx="839">
                  <c:v>1.2701878117699244E-2</c:v>
                </c:pt>
                <c:pt idx="840">
                  <c:v>1.4311695878150052E-2</c:v>
                </c:pt>
                <c:pt idx="841">
                  <c:v>1.2014672174702824E-2</c:v>
                </c:pt>
                <c:pt idx="842">
                  <c:v>1.0413838682427814E-2</c:v>
                </c:pt>
                <c:pt idx="843">
                  <c:v>9.8545271232470567E-3</c:v>
                </c:pt>
                <c:pt idx="844">
                  <c:v>1.0504444469991001E-2</c:v>
                </c:pt>
                <c:pt idx="845">
                  <c:v>1.1846337792361529E-2</c:v>
                </c:pt>
                <c:pt idx="846">
                  <c:v>1.0006883419506481E-2</c:v>
                </c:pt>
                <c:pt idx="847">
                  <c:v>9.192806564569108E-3</c:v>
                </c:pt>
                <c:pt idx="848">
                  <c:v>9.66672899054828E-3</c:v>
                </c:pt>
                <c:pt idx="849">
                  <c:v>1.0296889307431559E-2</c:v>
                </c:pt>
                <c:pt idx="850">
                  <c:v>9.2791278800487872E-3</c:v>
                </c:pt>
                <c:pt idx="851">
                  <c:v>9.5260946405244934E-3</c:v>
                </c:pt>
                <c:pt idx="852">
                  <c:v>1.0094318692460292E-2</c:v>
                </c:pt>
                <c:pt idx="853">
                  <c:v>1.0111668645366756E-2</c:v>
                </c:pt>
                <c:pt idx="854">
                  <c:v>1.1311221881702159E-2</c:v>
                </c:pt>
                <c:pt idx="855">
                  <c:v>1.207552220895069E-2</c:v>
                </c:pt>
                <c:pt idx="856">
                  <c:v>1.0211843085030006E-2</c:v>
                </c:pt>
                <c:pt idx="857">
                  <c:v>9.3441544212849639E-3</c:v>
                </c:pt>
                <c:pt idx="858">
                  <c:v>9.7423141288655885E-3</c:v>
                </c:pt>
                <c:pt idx="859">
                  <c:v>1.012190265935886E-2</c:v>
                </c:pt>
                <c:pt idx="860">
                  <c:v>9.0105884460388776E-3</c:v>
                </c:pt>
                <c:pt idx="861">
                  <c:v>9.1921964145340769E-3</c:v>
                </c:pt>
                <c:pt idx="862">
                  <c:v>9.4481067102832848E-3</c:v>
                </c:pt>
                <c:pt idx="863">
                  <c:v>9.395679817405073E-3</c:v>
                </c:pt>
                <c:pt idx="864">
                  <c:v>1.0308232511393681E-2</c:v>
                </c:pt>
                <c:pt idx="865">
                  <c:v>1.0516167638128383E-2</c:v>
                </c:pt>
                <c:pt idx="866">
                  <c:v>9.3802493775552217E-3</c:v>
                </c:pt>
                <c:pt idx="867">
                  <c:v>9.4845324111503797E-3</c:v>
                </c:pt>
                <c:pt idx="868">
                  <c:v>9.3993646202545009E-3</c:v>
                </c:pt>
                <c:pt idx="869">
                  <c:v>9.2747851716542765E-3</c:v>
                </c:pt>
                <c:pt idx="870">
                  <c:v>9.8125154202403624E-3</c:v>
                </c:pt>
                <c:pt idx="871">
                  <c:v>9.9568707148244718E-3</c:v>
                </c:pt>
                <c:pt idx="872">
                  <c:v>9.7710984562191499E-3</c:v>
                </c:pt>
                <c:pt idx="873">
                  <c:v>9.9005628399400237E-3</c:v>
                </c:pt>
                <c:pt idx="874">
                  <c:v>1.0557779810850047E-2</c:v>
                </c:pt>
                <c:pt idx="875">
                  <c:v>1.6893408666029865E-2</c:v>
                </c:pt>
                <c:pt idx="876">
                  <c:v>1.4370855717085018E-2</c:v>
                </c:pt>
                <c:pt idx="877">
                  <c:v>1.2337897381895656E-2</c:v>
                </c:pt>
                <c:pt idx="878">
                  <c:v>1.106769667330248E-2</c:v>
                </c:pt>
                <c:pt idx="879">
                  <c:v>1.0831993702887959E-2</c:v>
                </c:pt>
                <c:pt idx="880">
                  <c:v>1.1693512970348492E-2</c:v>
                </c:pt>
                <c:pt idx="881">
                  <c:v>1.4142689444246582E-2</c:v>
                </c:pt>
                <c:pt idx="882">
                  <c:v>1.1892190316511311E-2</c:v>
                </c:pt>
                <c:pt idx="883">
                  <c:v>1.0363430726018176E-2</c:v>
                </c:pt>
                <c:pt idx="884">
                  <c:v>9.8967258415579174E-3</c:v>
                </c:pt>
                <c:pt idx="885">
                  <c:v>1.0632857021237212E-2</c:v>
                </c:pt>
                <c:pt idx="886">
                  <c:v>1.2034251252653979E-2</c:v>
                </c:pt>
                <c:pt idx="887">
                  <c:v>1.0320175247720614E-2</c:v>
                </c:pt>
                <c:pt idx="888">
                  <c:v>9.6310337532612266E-3</c:v>
                </c:pt>
                <c:pt idx="889">
                  <c:v>1.0177209109101536E-2</c:v>
                </c:pt>
                <c:pt idx="890">
                  <c:v>1.0945769586661946E-2</c:v>
                </c:pt>
                <c:pt idx="891">
                  <c:v>1.0087961830810748E-2</c:v>
                </c:pt>
                <c:pt idx="892">
                  <c:v>1.0406346911218459E-2</c:v>
                </c:pt>
                <c:pt idx="893">
                  <c:v>1.1179251791299492E-2</c:v>
                </c:pt>
                <c:pt idx="894">
                  <c:v>1.1278610765196814E-2</c:v>
                </c:pt>
                <c:pt idx="895">
                  <c:v>1.2661777107457773E-2</c:v>
                </c:pt>
                <c:pt idx="896">
                  <c:v>1.41147187854523E-2</c:v>
                </c:pt>
                <c:pt idx="897">
                  <c:v>1.1802343754258085E-2</c:v>
                </c:pt>
                <c:pt idx="898">
                  <c:v>1.0194769731390703E-2</c:v>
                </c:pt>
                <c:pt idx="899">
                  <c:v>9.6508715533684206E-3</c:v>
                </c:pt>
                <c:pt idx="900">
                  <c:v>1.0339888475427675E-2</c:v>
                </c:pt>
                <c:pt idx="901">
                  <c:v>1.1617972774796361E-2</c:v>
                </c:pt>
                <c:pt idx="902">
                  <c:v>9.7632787126622506E-3</c:v>
                </c:pt>
                <c:pt idx="903">
                  <c:v>8.9573383952750562E-3</c:v>
                </c:pt>
                <c:pt idx="904">
                  <c:v>9.4717575515288633E-3</c:v>
                </c:pt>
                <c:pt idx="905">
                  <c:v>1.0045318637858553E-2</c:v>
                </c:pt>
                <c:pt idx="906">
                  <c:v>9.0292322201426644E-3</c:v>
                </c:pt>
                <c:pt idx="907">
                  <c:v>9.3120149546457916E-3</c:v>
                </c:pt>
                <c:pt idx="908">
                  <c:v>9.8498066891181627E-3</c:v>
                </c:pt>
                <c:pt idx="909">
                  <c:v>9.895028442914679E-3</c:v>
                </c:pt>
                <c:pt idx="910">
                  <c:v>1.1104417464530725E-2</c:v>
                </c:pt>
                <c:pt idx="911">
                  <c:v>1.1697917074909542E-2</c:v>
                </c:pt>
                <c:pt idx="912">
                  <c:v>9.7901526857464127E-3</c:v>
                </c:pt>
                <c:pt idx="913">
                  <c:v>8.9118401809124472E-3</c:v>
                </c:pt>
                <c:pt idx="914">
                  <c:v>9.3574933230622173E-3</c:v>
                </c:pt>
                <c:pt idx="915">
                  <c:v>9.6807471581261961E-3</c:v>
                </c:pt>
                <c:pt idx="916">
                  <c:v>8.5438269752070375E-3</c:v>
                </c:pt>
                <c:pt idx="917">
                  <c:v>8.7661321748028053E-3</c:v>
                </c:pt>
                <c:pt idx="918">
                  <c:v>8.987302004737914E-3</c:v>
                </c:pt>
                <c:pt idx="919">
                  <c:v>8.9624772965409948E-3</c:v>
                </c:pt>
                <c:pt idx="920">
                  <c:v>9.8997706663262325E-3</c:v>
                </c:pt>
                <c:pt idx="921">
                  <c:v>9.9113666491898889E-3</c:v>
                </c:pt>
                <c:pt idx="922">
                  <c:v>8.7279326642071258E-3</c:v>
                </c:pt>
                <c:pt idx="923">
                  <c:v>8.8705359707474413E-3</c:v>
                </c:pt>
                <c:pt idx="924">
                  <c:v>8.7312305631783958E-3</c:v>
                </c:pt>
                <c:pt idx="925">
                  <c:v>8.6284584374950908E-3</c:v>
                </c:pt>
                <c:pt idx="926">
                  <c:v>9.1876392820341487E-3</c:v>
                </c:pt>
                <c:pt idx="927">
                  <c:v>9.1327466450154063E-3</c:v>
                </c:pt>
                <c:pt idx="928">
                  <c:v>8.9601604358288643E-3</c:v>
                </c:pt>
                <c:pt idx="929">
                  <c:v>9.0845944444067402E-3</c:v>
                </c:pt>
                <c:pt idx="930">
                  <c:v>9.6102487571113285E-3</c:v>
                </c:pt>
                <c:pt idx="931">
                  <c:v>1.4177957693900336E-2</c:v>
                </c:pt>
                <c:pt idx="932">
                  <c:v>1.1900707509037274E-2</c:v>
                </c:pt>
                <c:pt idx="933">
                  <c:v>1.0334755640188842E-2</c:v>
                </c:pt>
                <c:pt idx="934">
                  <c:v>9.8262652696894208E-3</c:v>
                </c:pt>
                <c:pt idx="935">
                  <c:v>1.0529567143967715E-2</c:v>
                </c:pt>
                <c:pt idx="936">
                  <c:v>1.1705016625147131E-2</c:v>
                </c:pt>
                <c:pt idx="937">
                  <c:v>9.8941425684360724E-3</c:v>
                </c:pt>
                <c:pt idx="938">
                  <c:v>9.1295498363959497E-3</c:v>
                </c:pt>
                <c:pt idx="939">
                  <c:v>9.6628817309882421E-3</c:v>
                </c:pt>
                <c:pt idx="940">
                  <c:v>1.0157729773753744E-2</c:v>
                </c:pt>
                <c:pt idx="941">
                  <c:v>9.1837032427072099E-3</c:v>
                </c:pt>
                <c:pt idx="942">
                  <c:v>9.4904855737074408E-3</c:v>
                </c:pt>
                <c:pt idx="943">
                  <c:v>9.9765056134362672E-3</c:v>
                </c:pt>
                <c:pt idx="944">
                  <c:v>1.0048178117070407E-2</c:v>
                </c:pt>
                <c:pt idx="945">
                  <c:v>1.1227688296792753E-2</c:v>
                </c:pt>
                <c:pt idx="946">
                  <c:v>1.1629825521388698E-2</c:v>
                </c:pt>
                <c:pt idx="947">
                  <c:v>9.7365800218077118E-3</c:v>
                </c:pt>
                <c:pt idx="948">
                  <c:v>8.883530799480387E-3</c:v>
                </c:pt>
                <c:pt idx="949">
                  <c:v>9.3595527933068839E-3</c:v>
                </c:pt>
                <c:pt idx="950">
                  <c:v>9.6108984037646394E-3</c:v>
                </c:pt>
                <c:pt idx="951">
                  <c:v>8.4965760818429912E-3</c:v>
                </c:pt>
                <c:pt idx="952">
                  <c:v>8.7511269093036009E-3</c:v>
                </c:pt>
                <c:pt idx="953">
                  <c:v>8.9255265801921734E-3</c:v>
                </c:pt>
                <c:pt idx="954">
                  <c:v>8.9309433905224861E-3</c:v>
                </c:pt>
                <c:pt idx="955">
                  <c:v>9.8559530983379686E-3</c:v>
                </c:pt>
                <c:pt idx="956">
                  <c:v>9.6575952705636476E-3</c:v>
                </c:pt>
                <c:pt idx="957">
                  <c:v>8.4707195261457622E-3</c:v>
                </c:pt>
                <c:pt idx="958">
                  <c:v>8.6489890884641155E-3</c:v>
                </c:pt>
                <c:pt idx="959">
                  <c:v>8.4563153633337163E-3</c:v>
                </c:pt>
                <c:pt idx="960">
                  <c:v>8.3825712361248195E-3</c:v>
                </c:pt>
                <c:pt idx="961">
                  <c:v>8.9402753187462786E-3</c:v>
                </c:pt>
                <c:pt idx="962">
                  <c:v>8.6639135860323464E-3</c:v>
                </c:pt>
                <c:pt idx="963">
                  <c:v>8.5137028092565157E-3</c:v>
                </c:pt>
                <c:pt idx="964">
                  <c:v>8.6271152991585272E-3</c:v>
                </c:pt>
                <c:pt idx="965">
                  <c:v>8.9797326411542779E-3</c:v>
                </c:pt>
                <c:pt idx="966">
                  <c:v>1.1876572313521794E-2</c:v>
                </c:pt>
                <c:pt idx="967">
                  <c:v>1.0057009591612568E-2</c:v>
                </c:pt>
                <c:pt idx="968">
                  <c:v>9.2629311783253808E-3</c:v>
                </c:pt>
                <c:pt idx="969">
                  <c:v>9.7482473390927138E-3</c:v>
                </c:pt>
                <c:pt idx="970">
                  <c:v>9.920202679849225E-3</c:v>
                </c:pt>
                <c:pt idx="971">
                  <c:v>8.8755383690625848E-3</c:v>
                </c:pt>
                <c:pt idx="972">
                  <c:v>9.1492033288831758E-3</c:v>
                </c:pt>
                <c:pt idx="973">
                  <c:v>9.2707606288239715E-3</c:v>
                </c:pt>
                <c:pt idx="974">
                  <c:v>9.3051625935448665E-3</c:v>
                </c:pt>
                <c:pt idx="975">
                  <c:v>1.0181488800824123E-2</c:v>
                </c:pt>
                <c:pt idx="976">
                  <c:v>9.7822111232194232E-3</c:v>
                </c:pt>
                <c:pt idx="977">
                  <c:v>8.6439528275092554E-3</c:v>
                </c:pt>
                <c:pt idx="978">
                  <c:v>8.8494161722852179E-3</c:v>
                </c:pt>
                <c:pt idx="979">
                  <c:v>8.6123575398848792E-3</c:v>
                </c:pt>
                <c:pt idx="980">
                  <c:v>8.5716542477936499E-3</c:v>
                </c:pt>
                <c:pt idx="981">
                  <c:v>9.1012570816934712E-3</c:v>
                </c:pt>
                <c:pt idx="982">
                  <c:v>8.6086169890590668E-3</c:v>
                </c:pt>
                <c:pt idx="983">
                  <c:v>8.4894255698943766E-3</c:v>
                </c:pt>
                <c:pt idx="984">
                  <c:v>8.5856235093608214E-3</c:v>
                </c:pt>
                <c:pt idx="985">
                  <c:v>8.7351511683283478E-3</c:v>
                </c:pt>
                <c:pt idx="986">
                  <c:v>1.0271451358125934E-2</c:v>
                </c:pt>
                <c:pt idx="987">
                  <c:v>9.2234105498816554E-3</c:v>
                </c:pt>
                <c:pt idx="988">
                  <c:v>9.4449918698810871E-3</c:v>
                </c:pt>
                <c:pt idx="989">
                  <c:v>9.1774008171897348E-3</c:v>
                </c:pt>
                <c:pt idx="990">
                  <c:v>9.1688365157535402E-3</c:v>
                </c:pt>
                <c:pt idx="991">
                  <c:v>9.6501703950268164E-3</c:v>
                </c:pt>
                <c:pt idx="992">
                  <c:v>8.9745041532266132E-3</c:v>
                </c:pt>
                <c:pt idx="993">
                  <c:v>8.8907878156604028E-3</c:v>
                </c:pt>
                <c:pt idx="994">
                  <c:v>8.9658961737178362E-3</c:v>
                </c:pt>
                <c:pt idx="995">
                  <c:v>8.9083491205929656E-3</c:v>
                </c:pt>
                <c:pt idx="996">
                  <c:v>9.7140987035407352E-3</c:v>
                </c:pt>
                <c:pt idx="997">
                  <c:v>9.6649066189642627E-3</c:v>
                </c:pt>
                <c:pt idx="998">
                  <c:v>9.7185496780729484E-3</c:v>
                </c:pt>
                <c:pt idx="999">
                  <c:v>9.4764472598688355E-3</c:v>
                </c:pt>
                <c:pt idx="1000">
                  <c:v>1.0374775745897666E-2</c:v>
                </c:pt>
              </c:numCache>
            </c:numRef>
          </c:xVal>
          <c:yVal>
            <c:numRef>
              <c:f>BASE!$Q$3:$Q$1003</c:f>
              <c:numCache>
                <c:formatCode>General</c:formatCode>
                <c:ptCount val="1001"/>
                <c:pt idx="0">
                  <c:v>-1.1578836223605049E-3</c:v>
                </c:pt>
                <c:pt idx="1">
                  <c:v>-1.0576274336110861E-3</c:v>
                </c:pt>
                <c:pt idx="2">
                  <c:v>-9.5737124486166723E-4</c:v>
                </c:pt>
                <c:pt idx="3">
                  <c:v>-8.571150561122484E-4</c:v>
                </c:pt>
                <c:pt idx="4">
                  <c:v>-7.5685886736282957E-4</c:v>
                </c:pt>
                <c:pt idx="5">
                  <c:v>-6.5660267861341085E-4</c:v>
                </c:pt>
                <c:pt idx="6">
                  <c:v>-5.5634648986399202E-4</c:v>
                </c:pt>
                <c:pt idx="7">
                  <c:v>-4.5609030111457314E-4</c:v>
                </c:pt>
                <c:pt idx="8">
                  <c:v>-3.5583411236515437E-4</c:v>
                </c:pt>
                <c:pt idx="9">
                  <c:v>-2.5557792361573559E-4</c:v>
                </c:pt>
                <c:pt idx="10">
                  <c:v>-1.5532173486631676E-4</c:v>
                </c:pt>
                <c:pt idx="11">
                  <c:v>-1.0131337004285164E-3</c:v>
                </c:pt>
                <c:pt idx="12">
                  <c:v>-9.1287751167909773E-4</c:v>
                </c:pt>
                <c:pt idx="13">
                  <c:v>-8.1262132292967879E-4</c:v>
                </c:pt>
                <c:pt idx="14">
                  <c:v>-7.1236513418025996E-4</c:v>
                </c:pt>
                <c:pt idx="15">
                  <c:v>-6.1210894543084124E-4</c:v>
                </c:pt>
                <c:pt idx="16">
                  <c:v>-5.1185275668142241E-4</c:v>
                </c:pt>
                <c:pt idx="17">
                  <c:v>-4.1159656793200353E-4</c:v>
                </c:pt>
                <c:pt idx="18">
                  <c:v>-3.1134037918258476E-4</c:v>
                </c:pt>
                <c:pt idx="19">
                  <c:v>-2.1108419043316595E-4</c:v>
                </c:pt>
                <c:pt idx="20">
                  <c:v>-1.1082800168374715E-4</c:v>
                </c:pt>
                <c:pt idx="21">
                  <c:v>-8.6838377849652801E-4</c:v>
                </c:pt>
                <c:pt idx="22">
                  <c:v>-7.6812758974710918E-4</c:v>
                </c:pt>
                <c:pt idx="23">
                  <c:v>-6.6787140099769024E-4</c:v>
                </c:pt>
                <c:pt idx="24">
                  <c:v>-5.6761521224827152E-4</c:v>
                </c:pt>
                <c:pt idx="25">
                  <c:v>-4.6735902349885286E-4</c:v>
                </c:pt>
                <c:pt idx="26">
                  <c:v>-3.6710283474943392E-4</c:v>
                </c:pt>
                <c:pt idx="27">
                  <c:v>-2.668466460000152E-4</c:v>
                </c:pt>
                <c:pt idx="28">
                  <c:v>-1.6659045725059632E-4</c:v>
                </c:pt>
                <c:pt idx="29">
                  <c:v>-6.6334268501177528E-5</c:v>
                </c:pt>
                <c:pt idx="30">
                  <c:v>-7.2363385656453957E-4</c:v>
                </c:pt>
                <c:pt idx="31">
                  <c:v>-6.2337766781512074E-4</c:v>
                </c:pt>
                <c:pt idx="32">
                  <c:v>-5.2312147906570202E-4</c:v>
                </c:pt>
                <c:pt idx="33">
                  <c:v>-4.2286529031628319E-4</c:v>
                </c:pt>
                <c:pt idx="34">
                  <c:v>-3.2260910156686431E-4</c:v>
                </c:pt>
                <c:pt idx="35">
                  <c:v>-2.2235291281744553E-4</c:v>
                </c:pt>
                <c:pt idx="36">
                  <c:v>-1.2209672406802671E-4</c:v>
                </c:pt>
                <c:pt idx="37">
                  <c:v>-2.1840535318607904E-5</c:v>
                </c:pt>
                <c:pt idx="38">
                  <c:v>-5.7888393463255113E-4</c:v>
                </c:pt>
                <c:pt idx="39">
                  <c:v>-4.7862774588313241E-4</c:v>
                </c:pt>
                <c:pt idx="40">
                  <c:v>-3.7837155713371358E-4</c:v>
                </c:pt>
                <c:pt idx="41">
                  <c:v>-2.7811536838429475E-4</c:v>
                </c:pt>
                <c:pt idx="42">
                  <c:v>-1.778591796348759E-4</c:v>
                </c:pt>
                <c:pt idx="43">
                  <c:v>-7.7602990885457121E-5</c:v>
                </c:pt>
                <c:pt idx="44">
                  <c:v>2.2653197863961707E-5</c:v>
                </c:pt>
                <c:pt idx="45">
                  <c:v>-4.3413401270056274E-4</c:v>
                </c:pt>
                <c:pt idx="46">
                  <c:v>-3.3387782395114391E-4</c:v>
                </c:pt>
                <c:pt idx="47">
                  <c:v>-2.3362163520172509E-4</c:v>
                </c:pt>
                <c:pt idx="48">
                  <c:v>-1.3336544645230631E-4</c:v>
                </c:pt>
                <c:pt idx="49">
                  <c:v>-3.3109257702887483E-5</c:v>
                </c:pt>
                <c:pt idx="50">
                  <c:v>6.7146931046531318E-5</c:v>
                </c:pt>
                <c:pt idx="51">
                  <c:v>-2.8938409076857436E-4</c:v>
                </c:pt>
                <c:pt idx="52">
                  <c:v>-1.8912790201915545E-4</c:v>
                </c:pt>
                <c:pt idx="53">
                  <c:v>-8.8871713269736728E-5</c:v>
                </c:pt>
                <c:pt idx="54">
                  <c:v>1.1384475479682101E-5</c:v>
                </c:pt>
                <c:pt idx="55">
                  <c:v>1.1164066422910093E-4</c:v>
                </c:pt>
                <c:pt idx="56">
                  <c:v>-1.4463416883658586E-4</c:v>
                </c:pt>
                <c:pt idx="57">
                  <c:v>-4.437798008716709E-5</c:v>
                </c:pt>
                <c:pt idx="58">
                  <c:v>5.5878208662251739E-5</c:v>
                </c:pt>
                <c:pt idx="59">
                  <c:v>1.5613439741167054E-4</c:v>
                </c:pt>
                <c:pt idx="60">
                  <c:v>1.1575309540254861E-7</c:v>
                </c:pt>
                <c:pt idx="61">
                  <c:v>1.0037194184482135E-4</c:v>
                </c:pt>
                <c:pt idx="62">
                  <c:v>2.0062813059424018E-4</c:v>
                </c:pt>
                <c:pt idx="63">
                  <c:v>1.4486567502739102E-4</c:v>
                </c:pt>
                <c:pt idx="64">
                  <c:v>2.4512186377680979E-4</c:v>
                </c:pt>
                <c:pt idx="65">
                  <c:v>2.896155969593794E-4</c:v>
                </c:pt>
                <c:pt idx="66">
                  <c:v>-1.0153318284965736E-3</c:v>
                </c:pt>
                <c:pt idx="67">
                  <c:v>-9.1507563974715489E-4</c:v>
                </c:pt>
                <c:pt idx="68">
                  <c:v>-8.1481945099773595E-4</c:v>
                </c:pt>
                <c:pt idx="69">
                  <c:v>-7.1456326224831712E-4</c:v>
                </c:pt>
                <c:pt idx="70">
                  <c:v>-6.143070734988984E-4</c:v>
                </c:pt>
                <c:pt idx="71">
                  <c:v>-5.1405088474947957E-4</c:v>
                </c:pt>
                <c:pt idx="72">
                  <c:v>-4.137946960000608E-4</c:v>
                </c:pt>
                <c:pt idx="73">
                  <c:v>-3.1353850725064202E-4</c:v>
                </c:pt>
                <c:pt idx="74">
                  <c:v>-2.1328231850122317E-4</c:v>
                </c:pt>
                <c:pt idx="75">
                  <c:v>-1.1302612975180436E-4</c:v>
                </c:pt>
                <c:pt idx="76">
                  <c:v>-8.7058190656458527E-4</c:v>
                </c:pt>
                <c:pt idx="77">
                  <c:v>-7.7032571781516645E-4</c:v>
                </c:pt>
                <c:pt idx="78">
                  <c:v>-6.7006952906574751E-4</c:v>
                </c:pt>
                <c:pt idx="79">
                  <c:v>-5.6981334031632879E-4</c:v>
                </c:pt>
                <c:pt idx="80">
                  <c:v>-4.6955715156691012E-4</c:v>
                </c:pt>
                <c:pt idx="81">
                  <c:v>-3.6930096281749113E-4</c:v>
                </c:pt>
                <c:pt idx="82">
                  <c:v>-2.6904477406807241E-4</c:v>
                </c:pt>
                <c:pt idx="83">
                  <c:v>-1.6878858531865356E-4</c:v>
                </c:pt>
                <c:pt idx="84">
                  <c:v>-6.8532396569234754E-5</c:v>
                </c:pt>
                <c:pt idx="85">
                  <c:v>-7.2583198463259673E-4</c:v>
                </c:pt>
                <c:pt idx="86">
                  <c:v>-6.255757958831779E-4</c:v>
                </c:pt>
                <c:pt idx="87">
                  <c:v>-5.2531960713375918E-4</c:v>
                </c:pt>
                <c:pt idx="88">
                  <c:v>-4.2506341838434046E-4</c:v>
                </c:pt>
                <c:pt idx="89">
                  <c:v>-3.2480722963492157E-4</c:v>
                </c:pt>
                <c:pt idx="90">
                  <c:v>-2.2455104088550277E-4</c:v>
                </c:pt>
                <c:pt idx="91">
                  <c:v>-1.2429485213608394E-4</c:v>
                </c:pt>
                <c:pt idx="92">
                  <c:v>-2.4038663386665119E-5</c:v>
                </c:pt>
                <c:pt idx="93">
                  <c:v>-5.8108206270060829E-4</c:v>
                </c:pt>
                <c:pt idx="94">
                  <c:v>-4.8082587395118962E-4</c:v>
                </c:pt>
                <c:pt idx="95">
                  <c:v>-3.8056968520177079E-4</c:v>
                </c:pt>
                <c:pt idx="96">
                  <c:v>-2.8031349645235196E-4</c:v>
                </c:pt>
                <c:pt idx="97">
                  <c:v>-1.8005730770293311E-4</c:v>
                </c:pt>
                <c:pt idx="98">
                  <c:v>-7.9801118953514347E-5</c:v>
                </c:pt>
                <c:pt idx="99">
                  <c:v>2.0455069795904479E-5</c:v>
                </c:pt>
                <c:pt idx="100">
                  <c:v>-4.3633214076862001E-4</c:v>
                </c:pt>
                <c:pt idx="101">
                  <c:v>-3.3607595201920118E-4</c:v>
                </c:pt>
                <c:pt idx="102">
                  <c:v>-2.3581976326978233E-4</c:v>
                </c:pt>
                <c:pt idx="103">
                  <c:v>-1.3556357452036352E-4</c:v>
                </c:pt>
                <c:pt idx="104">
                  <c:v>-3.5307385770944695E-5</c:v>
                </c:pt>
                <c:pt idx="105">
                  <c:v>6.4948802978474107E-5</c:v>
                </c:pt>
                <c:pt idx="106">
                  <c:v>-2.9158221883663157E-4</c:v>
                </c:pt>
                <c:pt idx="107">
                  <c:v>-1.9132603008721266E-4</c:v>
                </c:pt>
                <c:pt idx="108">
                  <c:v>-9.106984133779394E-5</c:v>
                </c:pt>
                <c:pt idx="109">
                  <c:v>9.1863474116248856E-6</c:v>
                </c:pt>
                <c:pt idx="110">
                  <c:v>1.0944253616104372E-4</c:v>
                </c:pt>
                <c:pt idx="111">
                  <c:v>-1.4683229690464308E-4</c:v>
                </c:pt>
                <c:pt idx="112">
                  <c:v>-4.6576108155224301E-5</c:v>
                </c:pt>
                <c:pt idx="113">
                  <c:v>5.3680080594194527E-5</c:v>
                </c:pt>
                <c:pt idx="114">
                  <c:v>1.5393626934361333E-4</c:v>
                </c:pt>
                <c:pt idx="115">
                  <c:v>-2.0823749726546938E-6</c:v>
                </c:pt>
                <c:pt idx="116">
                  <c:v>9.8173813776764111E-5</c:v>
                </c:pt>
                <c:pt idx="117">
                  <c:v>1.9843000252618294E-4</c:v>
                </c:pt>
                <c:pt idx="118">
                  <c:v>1.4266754695933375E-4</c:v>
                </c:pt>
                <c:pt idx="119">
                  <c:v>2.4292373570875258E-4</c:v>
                </c:pt>
                <c:pt idx="120">
                  <c:v>2.8741746889132219E-4</c:v>
                </c:pt>
                <c:pt idx="121">
                  <c:v>-8.7278003463264254E-4</c:v>
                </c:pt>
                <c:pt idx="122">
                  <c:v>-7.7252384588322371E-4</c:v>
                </c:pt>
                <c:pt idx="123">
                  <c:v>-6.7226765713380477E-4</c:v>
                </c:pt>
                <c:pt idx="124">
                  <c:v>-5.7201146838438605E-4</c:v>
                </c:pt>
                <c:pt idx="125">
                  <c:v>-4.7175527963496728E-4</c:v>
                </c:pt>
                <c:pt idx="126">
                  <c:v>-3.7149909088554834E-4</c:v>
                </c:pt>
                <c:pt idx="127">
                  <c:v>-2.7124290213612962E-4</c:v>
                </c:pt>
                <c:pt idx="128">
                  <c:v>-1.7098671338671077E-4</c:v>
                </c:pt>
                <c:pt idx="129">
                  <c:v>-7.0730524637291966E-5</c:v>
                </c:pt>
                <c:pt idx="130">
                  <c:v>-7.280301127006541E-4</c:v>
                </c:pt>
                <c:pt idx="131">
                  <c:v>-6.2777392395123527E-4</c:v>
                </c:pt>
                <c:pt idx="132">
                  <c:v>-5.2751773520181655E-4</c:v>
                </c:pt>
                <c:pt idx="133">
                  <c:v>-4.2726154645239761E-4</c:v>
                </c:pt>
                <c:pt idx="134">
                  <c:v>-3.2700535770297873E-4</c:v>
                </c:pt>
                <c:pt idx="135">
                  <c:v>-2.2674916895355996E-4</c:v>
                </c:pt>
                <c:pt idx="136">
                  <c:v>-1.2649298020414116E-4</c:v>
                </c:pt>
                <c:pt idx="137">
                  <c:v>-2.6236791454722334E-5</c:v>
                </c:pt>
                <c:pt idx="138">
                  <c:v>-5.8328019076866555E-4</c:v>
                </c:pt>
                <c:pt idx="139">
                  <c:v>-4.8302400201924678E-4</c:v>
                </c:pt>
                <c:pt idx="140">
                  <c:v>-3.82767813269828E-4</c:v>
                </c:pt>
                <c:pt idx="141">
                  <c:v>-2.8251162452040918E-4</c:v>
                </c:pt>
                <c:pt idx="142">
                  <c:v>-1.8225543577099035E-4</c:v>
                </c:pt>
                <c:pt idx="143">
                  <c:v>-8.1999247021571572E-5</c:v>
                </c:pt>
                <c:pt idx="144">
                  <c:v>1.8256941727847263E-5</c:v>
                </c:pt>
                <c:pt idx="145">
                  <c:v>-4.3853026883667717E-4</c:v>
                </c:pt>
                <c:pt idx="146">
                  <c:v>-3.3827408008725834E-4</c:v>
                </c:pt>
                <c:pt idx="147">
                  <c:v>-2.3801789133783951E-4</c:v>
                </c:pt>
                <c:pt idx="148">
                  <c:v>-1.3776170258842074E-4</c:v>
                </c:pt>
                <c:pt idx="149">
                  <c:v>-3.7505513839001927E-5</c:v>
                </c:pt>
                <c:pt idx="150">
                  <c:v>6.2750674910416868E-5</c:v>
                </c:pt>
                <c:pt idx="151">
                  <c:v>-2.9378034690468873E-4</c:v>
                </c:pt>
                <c:pt idx="152">
                  <c:v>-1.935241581552699E-4</c:v>
                </c:pt>
                <c:pt idx="153">
                  <c:v>-9.3267969405851152E-5</c:v>
                </c:pt>
                <c:pt idx="154">
                  <c:v>6.9882193435676703E-6</c:v>
                </c:pt>
                <c:pt idx="155">
                  <c:v>1.0724440809298651E-4</c:v>
                </c:pt>
                <c:pt idx="156">
                  <c:v>-1.4903042497270029E-4</c:v>
                </c:pt>
                <c:pt idx="157">
                  <c:v>-4.877423622328152E-5</c:v>
                </c:pt>
                <c:pt idx="158">
                  <c:v>5.1481952526137308E-5</c:v>
                </c:pt>
                <c:pt idx="159">
                  <c:v>1.5173814127555612E-4</c:v>
                </c:pt>
                <c:pt idx="160">
                  <c:v>-4.2805030407119091E-6</c:v>
                </c:pt>
                <c:pt idx="161">
                  <c:v>9.5975685708706899E-5</c:v>
                </c:pt>
                <c:pt idx="162">
                  <c:v>1.9623187445812573E-4</c:v>
                </c:pt>
                <c:pt idx="163">
                  <c:v>1.4046941889127651E-4</c:v>
                </c:pt>
                <c:pt idx="164">
                  <c:v>2.4072560764069534E-4</c:v>
                </c:pt>
                <c:pt idx="165">
                  <c:v>2.8521934082326498E-4</c:v>
                </c:pt>
                <c:pt idx="166">
                  <c:v>-7.3022824076871126E-4</c:v>
                </c:pt>
                <c:pt idx="167">
                  <c:v>-6.2997205201929243E-4</c:v>
                </c:pt>
                <c:pt idx="168">
                  <c:v>-5.2971586326987371E-4</c:v>
                </c:pt>
                <c:pt idx="169">
                  <c:v>-4.2945967452045488E-4</c:v>
                </c:pt>
                <c:pt idx="170">
                  <c:v>-3.29203485771036E-4</c:v>
                </c:pt>
                <c:pt idx="171">
                  <c:v>-2.2894729702161722E-4</c:v>
                </c:pt>
                <c:pt idx="172">
                  <c:v>-1.286911082721984E-4</c:v>
                </c:pt>
                <c:pt idx="173">
                  <c:v>-2.8434919522779567E-5</c:v>
                </c:pt>
                <c:pt idx="174">
                  <c:v>-5.8547831883672282E-4</c:v>
                </c:pt>
                <c:pt idx="175">
                  <c:v>-4.852221300873041E-4</c:v>
                </c:pt>
                <c:pt idx="176">
                  <c:v>-3.8496594133788522E-4</c:v>
                </c:pt>
                <c:pt idx="177">
                  <c:v>-2.8470975258846639E-4</c:v>
                </c:pt>
                <c:pt idx="178">
                  <c:v>-1.8445356383904756E-4</c:v>
                </c:pt>
                <c:pt idx="179">
                  <c:v>-8.4197375089628798E-5</c:v>
                </c:pt>
                <c:pt idx="180">
                  <c:v>1.6058813659790031E-5</c:v>
                </c:pt>
                <c:pt idx="181">
                  <c:v>-4.4072839690473438E-4</c:v>
                </c:pt>
                <c:pt idx="182">
                  <c:v>-3.404722081553156E-4</c:v>
                </c:pt>
                <c:pt idx="183">
                  <c:v>-2.4021601940589678E-4</c:v>
                </c:pt>
                <c:pt idx="184">
                  <c:v>-1.39959830656478E-4</c:v>
                </c:pt>
                <c:pt idx="185">
                  <c:v>-3.9703641907059146E-5</c:v>
                </c:pt>
                <c:pt idx="186">
                  <c:v>6.0552546842359656E-5</c:v>
                </c:pt>
                <c:pt idx="187">
                  <c:v>-2.9597847497274599E-4</c:v>
                </c:pt>
                <c:pt idx="188">
                  <c:v>-1.9572228622332711E-4</c:v>
                </c:pt>
                <c:pt idx="189">
                  <c:v>-9.5466097473908377E-5</c:v>
                </c:pt>
                <c:pt idx="190">
                  <c:v>4.790091275510438E-6</c:v>
                </c:pt>
                <c:pt idx="191">
                  <c:v>1.0504628002492927E-4</c:v>
                </c:pt>
                <c:pt idx="192">
                  <c:v>-1.512285530407575E-4</c:v>
                </c:pt>
                <c:pt idx="193">
                  <c:v>-5.0972364291338739E-5</c:v>
                </c:pt>
                <c:pt idx="194">
                  <c:v>4.928382445808009E-5</c:v>
                </c:pt>
                <c:pt idx="195">
                  <c:v>1.4954001320749888E-4</c:v>
                </c:pt>
                <c:pt idx="196">
                  <c:v>-6.4786311087691278E-6</c:v>
                </c:pt>
                <c:pt idx="197">
                  <c:v>9.3777557640649674E-5</c:v>
                </c:pt>
                <c:pt idx="198">
                  <c:v>1.9403374639006849E-4</c:v>
                </c:pt>
                <c:pt idx="199">
                  <c:v>1.382712908232193E-4</c:v>
                </c:pt>
                <c:pt idx="200">
                  <c:v>2.385274795726381E-4</c:v>
                </c:pt>
                <c:pt idx="201">
                  <c:v>2.8302121275520771E-4</c:v>
                </c:pt>
                <c:pt idx="202">
                  <c:v>-5.8767644690477998E-4</c:v>
                </c:pt>
                <c:pt idx="203">
                  <c:v>-4.8742025815536126E-4</c:v>
                </c:pt>
                <c:pt idx="204">
                  <c:v>-3.8716406940594243E-4</c:v>
                </c:pt>
                <c:pt idx="205">
                  <c:v>-2.869078806565236E-4</c:v>
                </c:pt>
                <c:pt idx="206">
                  <c:v>-1.8665169190710477E-4</c:v>
                </c:pt>
                <c:pt idx="207">
                  <c:v>-8.639550315768601E-5</c:v>
                </c:pt>
                <c:pt idx="208">
                  <c:v>1.3860685591732819E-5</c:v>
                </c:pt>
                <c:pt idx="209">
                  <c:v>-4.4292652497279165E-4</c:v>
                </c:pt>
                <c:pt idx="210">
                  <c:v>-3.4267033622337276E-4</c:v>
                </c:pt>
                <c:pt idx="211">
                  <c:v>-2.4241414747395393E-4</c:v>
                </c:pt>
                <c:pt idx="212">
                  <c:v>-1.4215795872453516E-4</c:v>
                </c:pt>
                <c:pt idx="213">
                  <c:v>-4.1901769975116371E-5</c:v>
                </c:pt>
                <c:pt idx="214">
                  <c:v>5.8354418774302437E-5</c:v>
                </c:pt>
                <c:pt idx="215">
                  <c:v>-2.9817660304080321E-4</c:v>
                </c:pt>
                <c:pt idx="216">
                  <c:v>-1.9792041429138432E-4</c:v>
                </c:pt>
                <c:pt idx="217">
                  <c:v>-9.7664225541965616E-5</c:v>
                </c:pt>
                <c:pt idx="218">
                  <c:v>2.5919632074532261E-6</c:v>
                </c:pt>
                <c:pt idx="219">
                  <c:v>1.0284815195687205E-4</c:v>
                </c:pt>
                <c:pt idx="220">
                  <c:v>-1.5342668110881471E-4</c:v>
                </c:pt>
                <c:pt idx="221">
                  <c:v>-5.3170492359395951E-5</c:v>
                </c:pt>
                <c:pt idx="222">
                  <c:v>4.7085696390022864E-5</c:v>
                </c:pt>
                <c:pt idx="223">
                  <c:v>1.4734188513944167E-4</c:v>
                </c:pt>
                <c:pt idx="224">
                  <c:v>-8.6767591768263397E-6</c:v>
                </c:pt>
                <c:pt idx="225">
                  <c:v>9.1579429572592462E-5</c:v>
                </c:pt>
                <c:pt idx="226">
                  <c:v>1.9183561832201128E-4</c:v>
                </c:pt>
                <c:pt idx="227">
                  <c:v>1.3607316275516209E-4</c:v>
                </c:pt>
                <c:pt idx="228">
                  <c:v>2.3632935150458089E-4</c:v>
                </c:pt>
                <c:pt idx="229">
                  <c:v>2.808230846871505E-4</c:v>
                </c:pt>
                <c:pt idx="230">
                  <c:v>-4.4512465304084886E-4</c:v>
                </c:pt>
                <c:pt idx="231">
                  <c:v>-3.4486846429143003E-4</c:v>
                </c:pt>
                <c:pt idx="232">
                  <c:v>-2.446122755420112E-4</c:v>
                </c:pt>
                <c:pt idx="233">
                  <c:v>-1.4435608679259243E-4</c:v>
                </c:pt>
                <c:pt idx="234">
                  <c:v>-4.4099898043173597E-5</c:v>
                </c:pt>
                <c:pt idx="235">
                  <c:v>5.6156290706245205E-5</c:v>
                </c:pt>
                <c:pt idx="236">
                  <c:v>-3.0037473110886042E-4</c:v>
                </c:pt>
                <c:pt idx="237">
                  <c:v>-2.0011854235944153E-4</c:v>
                </c:pt>
                <c:pt idx="238">
                  <c:v>-9.9862353610022842E-5</c:v>
                </c:pt>
                <c:pt idx="239">
                  <c:v>3.9383513939598709E-7</c:v>
                </c:pt>
                <c:pt idx="240">
                  <c:v>1.0065002388881482E-4</c:v>
                </c:pt>
                <c:pt idx="241">
                  <c:v>-1.5562480917687198E-4</c:v>
                </c:pt>
                <c:pt idx="242">
                  <c:v>-5.5368620427453203E-5</c:v>
                </c:pt>
                <c:pt idx="243">
                  <c:v>4.4887568321965639E-5</c:v>
                </c:pt>
                <c:pt idx="244">
                  <c:v>1.4514375707138445E-4</c:v>
                </c:pt>
                <c:pt idx="245">
                  <c:v>-1.0874887244883592E-5</c:v>
                </c:pt>
                <c:pt idx="246">
                  <c:v>8.9381301504535223E-5</c:v>
                </c:pt>
                <c:pt idx="247">
                  <c:v>1.8963749025395406E-4</c:v>
                </c:pt>
                <c:pt idx="248">
                  <c:v>1.3387503468710485E-4</c:v>
                </c:pt>
                <c:pt idx="249">
                  <c:v>2.3413122343652368E-4</c:v>
                </c:pt>
                <c:pt idx="250">
                  <c:v>2.7862495661909329E-4</c:v>
                </c:pt>
                <c:pt idx="251">
                  <c:v>-3.0257285917691763E-4</c:v>
                </c:pt>
                <c:pt idx="252">
                  <c:v>-2.0231667042749877E-4</c:v>
                </c:pt>
                <c:pt idx="253">
                  <c:v>-1.0206048167808005E-4</c:v>
                </c:pt>
                <c:pt idx="254">
                  <c:v>-1.8042929286612248E-6</c:v>
                </c:pt>
                <c:pt idx="255">
                  <c:v>9.8451895820757604E-5</c:v>
                </c:pt>
                <c:pt idx="256">
                  <c:v>-1.5782293724492916E-4</c:v>
                </c:pt>
                <c:pt idx="257">
                  <c:v>-5.7566748495510415E-5</c:v>
                </c:pt>
                <c:pt idx="258">
                  <c:v>4.2689440253908413E-5</c:v>
                </c:pt>
                <c:pt idx="259">
                  <c:v>1.4294562900332721E-4</c:v>
                </c:pt>
                <c:pt idx="260">
                  <c:v>-1.3073015312940777E-5</c:v>
                </c:pt>
                <c:pt idx="261">
                  <c:v>8.7183173436478011E-5</c:v>
                </c:pt>
                <c:pt idx="262">
                  <c:v>1.8743936218589685E-4</c:v>
                </c:pt>
                <c:pt idx="263">
                  <c:v>1.3167690661904764E-4</c:v>
                </c:pt>
                <c:pt idx="264">
                  <c:v>2.3193309536846646E-4</c:v>
                </c:pt>
                <c:pt idx="265">
                  <c:v>2.7642682855103608E-4</c:v>
                </c:pt>
                <c:pt idx="266">
                  <c:v>-1.6002106531298643E-4</c:v>
                </c:pt>
                <c:pt idx="267">
                  <c:v>-5.9764876563567654E-5</c:v>
                </c:pt>
                <c:pt idx="268">
                  <c:v>4.0491312185851174E-5</c:v>
                </c:pt>
                <c:pt idx="269">
                  <c:v>1.4074750093526998E-4</c:v>
                </c:pt>
                <c:pt idx="270">
                  <c:v>-1.5271143380998043E-5</c:v>
                </c:pt>
                <c:pt idx="271">
                  <c:v>8.4985045368420758E-5</c:v>
                </c:pt>
                <c:pt idx="272">
                  <c:v>1.8524123411783959E-4</c:v>
                </c:pt>
                <c:pt idx="273">
                  <c:v>1.294787785509904E-4</c:v>
                </c:pt>
                <c:pt idx="274">
                  <c:v>2.297349673004092E-4</c:v>
                </c:pt>
                <c:pt idx="275">
                  <c:v>2.7422870048297881E-4</c:v>
                </c:pt>
                <c:pt idx="276">
                  <c:v>-1.7469271449055228E-5</c:v>
                </c:pt>
                <c:pt idx="277">
                  <c:v>8.2786917300363573E-5</c:v>
                </c:pt>
                <c:pt idx="278">
                  <c:v>1.830431060497824E-4</c:v>
                </c:pt>
                <c:pt idx="279">
                  <c:v>1.2728065048293321E-4</c:v>
                </c:pt>
                <c:pt idx="280">
                  <c:v>2.2753683923235201E-4</c:v>
                </c:pt>
                <c:pt idx="281">
                  <c:v>2.7203057241492165E-4</c:v>
                </c:pt>
                <c:pt idx="282">
                  <c:v>1.2508252241487595E-4</c:v>
                </c:pt>
                <c:pt idx="283">
                  <c:v>2.2533871116429477E-4</c:v>
                </c:pt>
                <c:pt idx="284">
                  <c:v>2.6983244434686439E-4</c:v>
                </c:pt>
                <c:pt idx="285">
                  <c:v>2.6763431627880717E-4</c:v>
                </c:pt>
                <c:pt idx="286">
                  <c:v>-9.6749023265574861E-4</c:v>
                </c:pt>
                <c:pt idx="287">
                  <c:v>-8.6723404390632989E-4</c:v>
                </c:pt>
                <c:pt idx="288">
                  <c:v>-7.6697785515691095E-4</c:v>
                </c:pt>
                <c:pt idx="289">
                  <c:v>-6.6672166640749213E-4</c:v>
                </c:pt>
                <c:pt idx="290">
                  <c:v>-5.6646547765807341E-4</c:v>
                </c:pt>
                <c:pt idx="291">
                  <c:v>-4.6620928890865458E-4</c:v>
                </c:pt>
                <c:pt idx="292">
                  <c:v>-3.6595310015923575E-4</c:v>
                </c:pt>
                <c:pt idx="293">
                  <c:v>-2.6569691140981697E-4</c:v>
                </c:pt>
                <c:pt idx="294">
                  <c:v>-1.6544072266039814E-4</c:v>
                </c:pt>
                <c:pt idx="295">
                  <c:v>-6.5184533910979343E-5</c:v>
                </c:pt>
                <c:pt idx="296">
                  <c:v>-8.2274031072376028E-4</c:v>
                </c:pt>
                <c:pt idx="297">
                  <c:v>-7.2248412197434145E-4</c:v>
                </c:pt>
                <c:pt idx="298">
                  <c:v>-6.2222793322492251E-4</c:v>
                </c:pt>
                <c:pt idx="299">
                  <c:v>-5.2197174447550379E-4</c:v>
                </c:pt>
                <c:pt idx="300">
                  <c:v>-4.2171555572608507E-4</c:v>
                </c:pt>
                <c:pt idx="301">
                  <c:v>-3.2145936697666608E-4</c:v>
                </c:pt>
                <c:pt idx="302">
                  <c:v>-2.2120317822724736E-4</c:v>
                </c:pt>
                <c:pt idx="303">
                  <c:v>-1.2094698947782853E-4</c:v>
                </c:pt>
                <c:pt idx="304">
                  <c:v>-2.0690800728409732E-5</c:v>
                </c:pt>
                <c:pt idx="305">
                  <c:v>-6.7799038879177173E-4</c:v>
                </c:pt>
                <c:pt idx="306">
                  <c:v>-5.777342000423529E-4</c:v>
                </c:pt>
                <c:pt idx="307">
                  <c:v>-4.7747801129293418E-4</c:v>
                </c:pt>
                <c:pt idx="308">
                  <c:v>-3.7722182254351541E-4</c:v>
                </c:pt>
                <c:pt idx="309">
                  <c:v>-2.7696563379409653E-4</c:v>
                </c:pt>
                <c:pt idx="310">
                  <c:v>-1.7670944504467775E-4</c:v>
                </c:pt>
                <c:pt idx="311">
                  <c:v>-7.6453256295258923E-5</c:v>
                </c:pt>
                <c:pt idx="312">
                  <c:v>2.3802932454159906E-5</c:v>
                </c:pt>
                <c:pt idx="313">
                  <c:v>-5.3324046685978329E-4</c:v>
                </c:pt>
                <c:pt idx="314">
                  <c:v>-4.3298427811036457E-4</c:v>
                </c:pt>
                <c:pt idx="315">
                  <c:v>-3.3272808936094574E-4</c:v>
                </c:pt>
                <c:pt idx="316">
                  <c:v>-2.3247190061152691E-4</c:v>
                </c:pt>
                <c:pt idx="317">
                  <c:v>-1.3221571186210809E-4</c:v>
                </c:pt>
                <c:pt idx="318">
                  <c:v>-3.1959523112689325E-5</c:v>
                </c:pt>
                <c:pt idx="319">
                  <c:v>6.8296665636729504E-5</c:v>
                </c:pt>
                <c:pt idx="320">
                  <c:v>-3.8849054492779496E-4</c:v>
                </c:pt>
                <c:pt idx="321">
                  <c:v>-2.8823435617837613E-4</c:v>
                </c:pt>
                <c:pt idx="322">
                  <c:v>-1.879781674289573E-4</c:v>
                </c:pt>
                <c:pt idx="323">
                  <c:v>-8.7721978679538502E-5</c:v>
                </c:pt>
                <c:pt idx="324">
                  <c:v>1.2534210069880327E-5</c:v>
                </c:pt>
                <c:pt idx="325">
                  <c:v>1.1279039881929913E-4</c:v>
                </c:pt>
                <c:pt idx="326">
                  <c:v>-2.4374062299580652E-4</c:v>
                </c:pt>
                <c:pt idx="327">
                  <c:v>-1.4348443424638764E-4</c:v>
                </c:pt>
                <c:pt idx="328">
                  <c:v>-4.3228245496968918E-5</c:v>
                </c:pt>
                <c:pt idx="329">
                  <c:v>5.7027943252449911E-5</c:v>
                </c:pt>
                <c:pt idx="330">
                  <c:v>1.5728413200186874E-4</c:v>
                </c:pt>
                <c:pt idx="331">
                  <c:v>-9.8990701063818054E-5</c:v>
                </c:pt>
                <c:pt idx="332">
                  <c:v>1.2654876856007201E-6</c:v>
                </c:pt>
                <c:pt idx="333">
                  <c:v>1.0152167643501955E-4</c:v>
                </c:pt>
                <c:pt idx="334">
                  <c:v>2.0177786518443835E-4</c:v>
                </c:pt>
                <c:pt idx="335">
                  <c:v>4.5759220868170331E-5</c:v>
                </c:pt>
                <c:pt idx="336">
                  <c:v>1.4601540961758913E-4</c:v>
                </c:pt>
                <c:pt idx="337">
                  <c:v>2.4627159836700796E-4</c:v>
                </c:pt>
                <c:pt idx="338">
                  <c:v>1.905091428001588E-4</c:v>
                </c:pt>
                <c:pt idx="339">
                  <c:v>2.9076533154957763E-4</c:v>
                </c:pt>
                <c:pt idx="340">
                  <c:v>3.3525906473214724E-4</c:v>
                </c:pt>
                <c:pt idx="341">
                  <c:v>-8.2493843879181744E-4</c:v>
                </c:pt>
                <c:pt idx="342">
                  <c:v>-7.2468225004239861E-4</c:v>
                </c:pt>
                <c:pt idx="343">
                  <c:v>-6.2442606129297967E-4</c:v>
                </c:pt>
                <c:pt idx="344">
                  <c:v>-5.2416987254356095E-4</c:v>
                </c:pt>
                <c:pt idx="345">
                  <c:v>-4.2391368379414223E-4</c:v>
                </c:pt>
                <c:pt idx="346">
                  <c:v>-3.2365749504472335E-4</c:v>
                </c:pt>
                <c:pt idx="347">
                  <c:v>-2.2340130629530463E-4</c:v>
                </c:pt>
                <c:pt idx="348">
                  <c:v>-1.2314511754588575E-4</c:v>
                </c:pt>
                <c:pt idx="349">
                  <c:v>-2.2888928796466944E-5</c:v>
                </c:pt>
                <c:pt idx="350">
                  <c:v>-6.80188516859829E-4</c:v>
                </c:pt>
                <c:pt idx="351">
                  <c:v>-5.7993232811041017E-4</c:v>
                </c:pt>
                <c:pt idx="352">
                  <c:v>-4.7967613936099145E-4</c:v>
                </c:pt>
                <c:pt idx="353">
                  <c:v>-3.7941995061157262E-4</c:v>
                </c:pt>
                <c:pt idx="354">
                  <c:v>-2.7916376186215374E-4</c:v>
                </c:pt>
                <c:pt idx="355">
                  <c:v>-1.7890757311273496E-4</c:v>
                </c:pt>
                <c:pt idx="356">
                  <c:v>-7.8651384363316135E-5</c:v>
                </c:pt>
                <c:pt idx="357">
                  <c:v>2.1604804386102694E-5</c:v>
                </c:pt>
                <c:pt idx="358">
                  <c:v>-5.3543859492784045E-4</c:v>
                </c:pt>
                <c:pt idx="359">
                  <c:v>-4.3518240617842173E-4</c:v>
                </c:pt>
                <c:pt idx="360">
                  <c:v>-3.3492621742900301E-4</c:v>
                </c:pt>
                <c:pt idx="361">
                  <c:v>-2.3467002867958418E-4</c:v>
                </c:pt>
                <c:pt idx="362">
                  <c:v>-1.3441383993016532E-4</c:v>
                </c:pt>
                <c:pt idx="363">
                  <c:v>-3.4157651180746551E-5</c:v>
                </c:pt>
                <c:pt idx="364">
                  <c:v>6.6098537568672292E-5</c:v>
                </c:pt>
                <c:pt idx="365">
                  <c:v>-3.9068867299585217E-4</c:v>
                </c:pt>
                <c:pt idx="366">
                  <c:v>-2.9043248424643334E-4</c:v>
                </c:pt>
                <c:pt idx="367">
                  <c:v>-1.9017629549701452E-4</c:v>
                </c:pt>
                <c:pt idx="368">
                  <c:v>-8.9920106747595714E-5</c:v>
                </c:pt>
                <c:pt idx="369">
                  <c:v>1.0336082001823101E-5</c:v>
                </c:pt>
                <c:pt idx="370">
                  <c:v>1.105922707512419E-4</c:v>
                </c:pt>
                <c:pt idx="371">
                  <c:v>-2.4593875106386373E-4</c:v>
                </c:pt>
                <c:pt idx="372">
                  <c:v>-1.4568256231444488E-4</c:v>
                </c:pt>
                <c:pt idx="373">
                  <c:v>-4.542637356502613E-5</c:v>
                </c:pt>
                <c:pt idx="374">
                  <c:v>5.4829815184392699E-5</c:v>
                </c:pt>
                <c:pt idx="375">
                  <c:v>1.5508600393381153E-4</c:v>
                </c:pt>
                <c:pt idx="376">
                  <c:v>-1.0118882913187527E-4</c:v>
                </c:pt>
                <c:pt idx="377">
                  <c:v>-9.3264038245649181E-7</c:v>
                </c:pt>
                <c:pt idx="378">
                  <c:v>9.9323548366962337E-5</c:v>
                </c:pt>
                <c:pt idx="379">
                  <c:v>1.9957973711638114E-4</c:v>
                </c:pt>
                <c:pt idx="380">
                  <c:v>4.3561092800113119E-5</c:v>
                </c:pt>
                <c:pt idx="381">
                  <c:v>1.4381728154953192E-4</c:v>
                </c:pt>
                <c:pt idx="382">
                  <c:v>2.4407347029895075E-4</c:v>
                </c:pt>
                <c:pt idx="383">
                  <c:v>1.8831101473210153E-4</c:v>
                </c:pt>
                <c:pt idx="384">
                  <c:v>2.8856720348152036E-4</c:v>
                </c:pt>
                <c:pt idx="385">
                  <c:v>3.3306093666408997E-4</c:v>
                </c:pt>
                <c:pt idx="386">
                  <c:v>-6.8238664492788626E-4</c:v>
                </c:pt>
                <c:pt idx="387">
                  <c:v>-5.8213045617846744E-4</c:v>
                </c:pt>
                <c:pt idx="388">
                  <c:v>-4.8187426742904872E-4</c:v>
                </c:pt>
                <c:pt idx="389">
                  <c:v>-3.8161807867962983E-4</c:v>
                </c:pt>
                <c:pt idx="390">
                  <c:v>-2.8136188993021095E-4</c:v>
                </c:pt>
                <c:pt idx="391">
                  <c:v>-1.8110570118079218E-4</c:v>
                </c:pt>
                <c:pt idx="392">
                  <c:v>-8.0849512431373346E-5</c:v>
                </c:pt>
                <c:pt idx="393">
                  <c:v>1.9406676318045462E-5</c:v>
                </c:pt>
                <c:pt idx="394">
                  <c:v>-5.3763672299589782E-4</c:v>
                </c:pt>
                <c:pt idx="395">
                  <c:v>-4.373805342464791E-4</c:v>
                </c:pt>
                <c:pt idx="396">
                  <c:v>-3.3712434549706017E-4</c:v>
                </c:pt>
                <c:pt idx="397">
                  <c:v>-2.3686815674764134E-4</c:v>
                </c:pt>
                <c:pt idx="398">
                  <c:v>-1.3661196799822251E-4</c:v>
                </c:pt>
                <c:pt idx="399">
                  <c:v>-3.6355779248803762E-5</c:v>
                </c:pt>
                <c:pt idx="400">
                  <c:v>6.3900409500615066E-5</c:v>
                </c:pt>
                <c:pt idx="401">
                  <c:v>-3.9288680106390933E-4</c:v>
                </c:pt>
                <c:pt idx="402">
                  <c:v>-2.9263061231449056E-4</c:v>
                </c:pt>
                <c:pt idx="403">
                  <c:v>-1.9237442356507173E-4</c:v>
                </c:pt>
                <c:pt idx="404">
                  <c:v>-9.2118234815652953E-5</c:v>
                </c:pt>
                <c:pt idx="405">
                  <c:v>8.1379539337658757E-6</c:v>
                </c:pt>
                <c:pt idx="406">
                  <c:v>1.0839414268318468E-4</c:v>
                </c:pt>
                <c:pt idx="407">
                  <c:v>-2.4813687913192094E-4</c:v>
                </c:pt>
                <c:pt idx="408">
                  <c:v>-1.4788069038250206E-4</c:v>
                </c:pt>
                <c:pt idx="409">
                  <c:v>-4.7624501633083342E-5</c:v>
                </c:pt>
                <c:pt idx="410">
                  <c:v>5.2631687116335466E-5</c:v>
                </c:pt>
                <c:pt idx="411">
                  <c:v>1.5288787586575429E-4</c:v>
                </c:pt>
                <c:pt idx="412">
                  <c:v>-1.0338695719993248E-4</c:v>
                </c:pt>
                <c:pt idx="413">
                  <c:v>-3.1307684505137037E-6</c:v>
                </c:pt>
                <c:pt idx="414">
                  <c:v>9.7125420298905125E-5</c:v>
                </c:pt>
                <c:pt idx="415">
                  <c:v>1.9738160904832393E-4</c:v>
                </c:pt>
                <c:pt idx="416">
                  <c:v>4.1362964732055901E-5</c:v>
                </c:pt>
                <c:pt idx="417">
                  <c:v>1.4161915348147471E-4</c:v>
                </c:pt>
                <c:pt idx="418">
                  <c:v>2.4187534223089354E-4</c:v>
                </c:pt>
                <c:pt idx="419">
                  <c:v>1.8611288666404432E-4</c:v>
                </c:pt>
                <c:pt idx="420">
                  <c:v>2.8636907541346315E-4</c:v>
                </c:pt>
                <c:pt idx="421">
                  <c:v>3.3086280859603276E-4</c:v>
                </c:pt>
                <c:pt idx="422">
                  <c:v>-5.3983485106395498E-4</c:v>
                </c:pt>
                <c:pt idx="423">
                  <c:v>-4.3957866231453626E-4</c:v>
                </c:pt>
                <c:pt idx="424">
                  <c:v>-3.3932247356511743E-4</c:v>
                </c:pt>
                <c:pt idx="425">
                  <c:v>-2.390662848156986E-4</c:v>
                </c:pt>
                <c:pt idx="426">
                  <c:v>-1.3881009606627978E-4</c:v>
                </c:pt>
                <c:pt idx="427">
                  <c:v>-3.8553907316860988E-5</c:v>
                </c:pt>
                <c:pt idx="428">
                  <c:v>6.1702281432557841E-5</c:v>
                </c:pt>
                <c:pt idx="429">
                  <c:v>-3.9508492913196665E-4</c:v>
                </c:pt>
                <c:pt idx="430">
                  <c:v>-2.9482874038254777E-4</c:v>
                </c:pt>
                <c:pt idx="431">
                  <c:v>-1.9457255163312894E-4</c:v>
                </c:pt>
                <c:pt idx="432">
                  <c:v>-9.4316362883710165E-5</c:v>
                </c:pt>
                <c:pt idx="433">
                  <c:v>5.9398258657086502E-6</c:v>
                </c:pt>
                <c:pt idx="434">
                  <c:v>1.0619601461512747E-4</c:v>
                </c:pt>
                <c:pt idx="435">
                  <c:v>-2.5033500719997821E-4</c:v>
                </c:pt>
                <c:pt idx="436">
                  <c:v>-1.5007881845055933E-4</c:v>
                </c:pt>
                <c:pt idx="437">
                  <c:v>-4.9822629701140608E-5</c:v>
                </c:pt>
                <c:pt idx="438">
                  <c:v>5.0433559048278248E-5</c:v>
                </c:pt>
                <c:pt idx="439">
                  <c:v>1.5068974779769708E-4</c:v>
                </c:pt>
                <c:pt idx="440">
                  <c:v>-1.0558508526798972E-4</c:v>
                </c:pt>
                <c:pt idx="441">
                  <c:v>-5.3288965185709292E-6</c:v>
                </c:pt>
                <c:pt idx="442">
                  <c:v>9.4927292230847886E-5</c:v>
                </c:pt>
                <c:pt idx="443">
                  <c:v>1.9518348098026669E-4</c:v>
                </c:pt>
                <c:pt idx="444">
                  <c:v>3.9164836663998682E-5</c:v>
                </c:pt>
                <c:pt idx="445">
                  <c:v>1.394210254134175E-4</c:v>
                </c:pt>
                <c:pt idx="446">
                  <c:v>2.3967721416283633E-4</c:v>
                </c:pt>
                <c:pt idx="447">
                  <c:v>1.8391475859598711E-4</c:v>
                </c:pt>
                <c:pt idx="448">
                  <c:v>2.8417094734540594E-4</c:v>
                </c:pt>
                <c:pt idx="449">
                  <c:v>3.2866468052797555E-4</c:v>
                </c:pt>
                <c:pt idx="450">
                  <c:v>-3.9728305720002381E-4</c:v>
                </c:pt>
                <c:pt idx="451">
                  <c:v>-2.9702686845060498E-4</c:v>
                </c:pt>
                <c:pt idx="452">
                  <c:v>-1.9677067970118615E-4</c:v>
                </c:pt>
                <c:pt idx="453">
                  <c:v>-9.6514490951767377E-5</c:v>
                </c:pt>
                <c:pt idx="454">
                  <c:v>3.7416977976514383E-6</c:v>
                </c:pt>
                <c:pt idx="455">
                  <c:v>1.0399788654707024E-4</c:v>
                </c:pt>
                <c:pt idx="456">
                  <c:v>-2.5253313526803537E-4</c:v>
                </c:pt>
                <c:pt idx="457">
                  <c:v>-1.5227694651861649E-4</c:v>
                </c:pt>
                <c:pt idx="458">
                  <c:v>-5.202075776919782E-5</c:v>
                </c:pt>
                <c:pt idx="459">
                  <c:v>4.8235430980221022E-5</c:v>
                </c:pt>
                <c:pt idx="460">
                  <c:v>1.4849161972963986E-4</c:v>
                </c:pt>
                <c:pt idx="461">
                  <c:v>-1.0778321333604693E-4</c:v>
                </c:pt>
                <c:pt idx="462">
                  <c:v>-7.5270245866281682E-6</c:v>
                </c:pt>
                <c:pt idx="463">
                  <c:v>9.2729164162790674E-5</c:v>
                </c:pt>
                <c:pt idx="464">
                  <c:v>1.9298535291220948E-4</c:v>
                </c:pt>
                <c:pt idx="465">
                  <c:v>3.6966708595941443E-5</c:v>
                </c:pt>
                <c:pt idx="466">
                  <c:v>1.3722289734536026E-4</c:v>
                </c:pt>
                <c:pt idx="467">
                  <c:v>2.3747908609477909E-4</c:v>
                </c:pt>
                <c:pt idx="468">
                  <c:v>1.817166305279299E-4</c:v>
                </c:pt>
                <c:pt idx="469">
                  <c:v>2.8197281927734872E-4</c:v>
                </c:pt>
                <c:pt idx="470">
                  <c:v>3.2646655245991834E-4</c:v>
                </c:pt>
                <c:pt idx="471">
                  <c:v>-2.5473126333609263E-4</c:v>
                </c:pt>
                <c:pt idx="472">
                  <c:v>-1.5447507458667375E-4</c:v>
                </c:pt>
                <c:pt idx="473">
                  <c:v>-5.4218885837255032E-5</c:v>
                </c:pt>
                <c:pt idx="474">
                  <c:v>4.6037302912163797E-5</c:v>
                </c:pt>
                <c:pt idx="475">
                  <c:v>1.4629349166158263E-4</c:v>
                </c:pt>
                <c:pt idx="476">
                  <c:v>-1.0998134140410414E-4</c:v>
                </c:pt>
                <c:pt idx="477">
                  <c:v>-9.7251526546853937E-6</c:v>
                </c:pt>
                <c:pt idx="478">
                  <c:v>9.0531036094733435E-5</c:v>
                </c:pt>
                <c:pt idx="479">
                  <c:v>1.9078722484415224E-4</c:v>
                </c:pt>
                <c:pt idx="480">
                  <c:v>3.4768580527884244E-5</c:v>
                </c:pt>
                <c:pt idx="481">
                  <c:v>1.3502476927730302E-4</c:v>
                </c:pt>
                <c:pt idx="482">
                  <c:v>2.3528095802672185E-4</c:v>
                </c:pt>
                <c:pt idx="483">
                  <c:v>1.7951850245987266E-4</c:v>
                </c:pt>
                <c:pt idx="484">
                  <c:v>2.7977469120929146E-4</c:v>
                </c:pt>
                <c:pt idx="485">
                  <c:v>3.2426842439186112E-4</c:v>
                </c:pt>
                <c:pt idx="486">
                  <c:v>-1.1217946947216138E-4</c:v>
                </c:pt>
                <c:pt idx="487">
                  <c:v>-1.1923280722742606E-5</c:v>
                </c:pt>
                <c:pt idx="488">
                  <c:v>8.8332908026676223E-5</c:v>
                </c:pt>
                <c:pt idx="489">
                  <c:v>1.8858909677609502E-4</c:v>
                </c:pt>
                <c:pt idx="490">
                  <c:v>3.2570452459827005E-5</c:v>
                </c:pt>
                <c:pt idx="491">
                  <c:v>1.3282664120924581E-4</c:v>
                </c:pt>
                <c:pt idx="492">
                  <c:v>2.3308282995866464E-4</c:v>
                </c:pt>
                <c:pt idx="493">
                  <c:v>1.7732037439181545E-4</c:v>
                </c:pt>
                <c:pt idx="494">
                  <c:v>2.7757656314123425E-4</c:v>
                </c:pt>
                <c:pt idx="495">
                  <c:v>3.2207029632380386E-4</c:v>
                </c:pt>
                <c:pt idx="496">
                  <c:v>3.0372324391769766E-5</c:v>
                </c:pt>
                <c:pt idx="497">
                  <c:v>1.3062851314118857E-4</c:v>
                </c:pt>
                <c:pt idx="498">
                  <c:v>2.308847018906074E-4</c:v>
                </c:pt>
                <c:pt idx="499">
                  <c:v>1.7512224632375821E-4</c:v>
                </c:pt>
                <c:pt idx="500">
                  <c:v>2.7537843507317698E-4</c:v>
                </c:pt>
                <c:pt idx="501">
                  <c:v>3.1987216825574665E-4</c:v>
                </c:pt>
                <c:pt idx="502">
                  <c:v>1.7292411825570099E-4</c:v>
                </c:pt>
                <c:pt idx="503">
                  <c:v>2.7318030700511982E-4</c:v>
                </c:pt>
                <c:pt idx="504">
                  <c:v>3.1767404018768943E-4</c:v>
                </c:pt>
                <c:pt idx="505">
                  <c:v>3.1547591211963217E-4</c:v>
                </c:pt>
                <c:pt idx="506">
                  <c:v>-7.7709684295099244E-4</c:v>
                </c:pt>
                <c:pt idx="507">
                  <c:v>-6.7684065420157361E-4</c:v>
                </c:pt>
                <c:pt idx="508">
                  <c:v>-5.7658446545215468E-4</c:v>
                </c:pt>
                <c:pt idx="509">
                  <c:v>-4.7632827670273596E-4</c:v>
                </c:pt>
                <c:pt idx="510">
                  <c:v>-3.7607208795331724E-4</c:v>
                </c:pt>
                <c:pt idx="511">
                  <c:v>-2.758158992038983E-4</c:v>
                </c:pt>
                <c:pt idx="512">
                  <c:v>-1.7555971045447958E-4</c:v>
                </c:pt>
                <c:pt idx="513">
                  <c:v>-7.5303521705060724E-5</c:v>
                </c:pt>
                <c:pt idx="514">
                  <c:v>2.4952667044358078E-5</c:v>
                </c:pt>
                <c:pt idx="515">
                  <c:v>-6.32346921019004E-4</c:v>
                </c:pt>
                <c:pt idx="516">
                  <c:v>-5.3209073226958517E-4</c:v>
                </c:pt>
                <c:pt idx="517">
                  <c:v>-4.3183454352016645E-4</c:v>
                </c:pt>
                <c:pt idx="518">
                  <c:v>-3.3157835477074757E-4</c:v>
                </c:pt>
                <c:pt idx="519">
                  <c:v>-2.3132216602132869E-4</c:v>
                </c:pt>
                <c:pt idx="520">
                  <c:v>-1.3106597727190991E-4</c:v>
                </c:pt>
                <c:pt idx="521">
                  <c:v>-3.0809788522491113E-5</c:v>
                </c:pt>
                <c:pt idx="522">
                  <c:v>6.9446400226927716E-5</c:v>
                </c:pt>
                <c:pt idx="523">
                  <c:v>-4.8759699908701546E-4</c:v>
                </c:pt>
                <c:pt idx="524">
                  <c:v>-3.8734081033759674E-4</c:v>
                </c:pt>
                <c:pt idx="525">
                  <c:v>-2.8708462158817796E-4</c:v>
                </c:pt>
                <c:pt idx="526">
                  <c:v>-1.8682843283875913E-4</c:v>
                </c:pt>
                <c:pt idx="527">
                  <c:v>-8.6572244089340303E-5</c:v>
                </c:pt>
                <c:pt idx="528">
                  <c:v>1.3683944660078471E-5</c:v>
                </c:pt>
                <c:pt idx="529">
                  <c:v>1.1394013340949731E-4</c:v>
                </c:pt>
                <c:pt idx="530">
                  <c:v>-3.4284707715502712E-4</c:v>
                </c:pt>
                <c:pt idx="531">
                  <c:v>-2.425908884056083E-4</c:v>
                </c:pt>
                <c:pt idx="532">
                  <c:v>-1.4233469965618947E-4</c:v>
                </c:pt>
                <c:pt idx="533">
                  <c:v>-4.2078510906770692E-5</c:v>
                </c:pt>
                <c:pt idx="534">
                  <c:v>5.8177677842648123E-5</c:v>
                </c:pt>
                <c:pt idx="535">
                  <c:v>1.5843386659206691E-4</c:v>
                </c:pt>
                <c:pt idx="536">
                  <c:v>-1.9809715522303868E-4</c:v>
                </c:pt>
                <c:pt idx="537">
                  <c:v>-9.7840966473619856E-5</c:v>
                </c:pt>
                <c:pt idx="538">
                  <c:v>2.4152222757988916E-6</c:v>
                </c:pt>
                <c:pt idx="539">
                  <c:v>1.0267141102521772E-4</c:v>
                </c:pt>
                <c:pt idx="540">
                  <c:v>2.0292759977463655E-4</c:v>
                </c:pt>
                <c:pt idx="541">
                  <c:v>-5.3347233291050245E-5</c:v>
                </c:pt>
                <c:pt idx="542">
                  <c:v>4.690895545836853E-5</c:v>
                </c:pt>
                <c:pt idx="543">
                  <c:v>1.4716514420778736E-4</c:v>
                </c:pt>
                <c:pt idx="544">
                  <c:v>2.4742133295720613E-4</c:v>
                </c:pt>
                <c:pt idx="545">
                  <c:v>9.1402688640938141E-5</c:v>
                </c:pt>
                <c:pt idx="546">
                  <c:v>1.9165887739035694E-4</c:v>
                </c:pt>
                <c:pt idx="547">
                  <c:v>2.9191506613977574E-4</c:v>
                </c:pt>
                <c:pt idx="548">
                  <c:v>2.3615261057292658E-4</c:v>
                </c:pt>
                <c:pt idx="549">
                  <c:v>3.3640879932234535E-4</c:v>
                </c:pt>
                <c:pt idx="550">
                  <c:v>3.8090253250491502E-4</c:v>
                </c:pt>
                <c:pt idx="551">
                  <c:v>-6.3454504908706116E-4</c:v>
                </c:pt>
                <c:pt idx="552">
                  <c:v>-5.3428886033764233E-4</c:v>
                </c:pt>
                <c:pt idx="553">
                  <c:v>-4.3403267158822361E-4</c:v>
                </c:pt>
                <c:pt idx="554">
                  <c:v>-3.3377648283880484E-4</c:v>
                </c:pt>
                <c:pt idx="555">
                  <c:v>-2.3352029408938596E-4</c:v>
                </c:pt>
                <c:pt idx="556">
                  <c:v>-1.3326410533996718E-4</c:v>
                </c:pt>
                <c:pt idx="557">
                  <c:v>-3.3007916590548325E-5</c:v>
                </c:pt>
                <c:pt idx="558">
                  <c:v>6.724827215887049E-5</c:v>
                </c:pt>
                <c:pt idx="559">
                  <c:v>-4.8979512715507272E-4</c:v>
                </c:pt>
                <c:pt idx="560">
                  <c:v>-3.89538938405654E-4</c:v>
                </c:pt>
                <c:pt idx="561">
                  <c:v>-2.8928274965623517E-4</c:v>
                </c:pt>
                <c:pt idx="562">
                  <c:v>-1.8902656090681634E-4</c:v>
                </c:pt>
                <c:pt idx="563">
                  <c:v>-8.8770372157397488E-5</c:v>
                </c:pt>
                <c:pt idx="564">
                  <c:v>1.1485816592021259E-5</c:v>
                </c:pt>
                <c:pt idx="565">
                  <c:v>1.1174200534144009E-4</c:v>
                </c:pt>
                <c:pt idx="566">
                  <c:v>-3.4504520522308428E-4</c:v>
                </c:pt>
                <c:pt idx="567">
                  <c:v>-2.4478901647366556E-4</c:v>
                </c:pt>
                <c:pt idx="568">
                  <c:v>-1.4453282772424673E-4</c:v>
                </c:pt>
                <c:pt idx="569">
                  <c:v>-4.4276638974827931E-5</c:v>
                </c:pt>
                <c:pt idx="570">
                  <c:v>5.5979549774590911E-5</c:v>
                </c:pt>
                <c:pt idx="571">
                  <c:v>1.562357385240097E-4</c:v>
                </c:pt>
                <c:pt idx="572">
                  <c:v>-2.0029528329109595E-4</c:v>
                </c:pt>
                <c:pt idx="573">
                  <c:v>-1.0003909454167707E-4</c:v>
                </c:pt>
                <c:pt idx="574">
                  <c:v>2.1709420774167969E-7</c:v>
                </c:pt>
                <c:pt idx="575">
                  <c:v>1.0047328295716049E-4</c:v>
                </c:pt>
                <c:pt idx="576">
                  <c:v>2.0072947170657931E-4</c:v>
                </c:pt>
                <c:pt idx="577">
                  <c:v>-5.5545361359107457E-5</c:v>
                </c:pt>
                <c:pt idx="578">
                  <c:v>4.4710827390311318E-5</c:v>
                </c:pt>
                <c:pt idx="579">
                  <c:v>1.4496701613973015E-4</c:v>
                </c:pt>
                <c:pt idx="580">
                  <c:v>2.4522320488914898E-4</c:v>
                </c:pt>
                <c:pt idx="581">
                  <c:v>8.9204560572880929E-5</c:v>
                </c:pt>
                <c:pt idx="582">
                  <c:v>1.8946074932229973E-4</c:v>
                </c:pt>
                <c:pt idx="583">
                  <c:v>2.8971693807171859E-4</c:v>
                </c:pt>
                <c:pt idx="584">
                  <c:v>2.3395448250486937E-4</c:v>
                </c:pt>
                <c:pt idx="585">
                  <c:v>3.342106712542882E-4</c:v>
                </c:pt>
                <c:pt idx="586">
                  <c:v>3.7870440443685781E-4</c:v>
                </c:pt>
                <c:pt idx="587">
                  <c:v>-4.9199325522312999E-4</c:v>
                </c:pt>
                <c:pt idx="588">
                  <c:v>-3.9173706647371127E-4</c:v>
                </c:pt>
                <c:pt idx="589">
                  <c:v>-2.9148087772429238E-4</c:v>
                </c:pt>
                <c:pt idx="590">
                  <c:v>-1.9122468897487356E-4</c:v>
                </c:pt>
                <c:pt idx="591">
                  <c:v>-9.0968500225454727E-5</c:v>
                </c:pt>
                <c:pt idx="592">
                  <c:v>9.2876885239640472E-6</c:v>
                </c:pt>
                <c:pt idx="593">
                  <c:v>1.0954387727338288E-4</c:v>
                </c:pt>
                <c:pt idx="594">
                  <c:v>-3.4724333329114166E-4</c:v>
                </c:pt>
                <c:pt idx="595">
                  <c:v>-2.4698714454172272E-4</c:v>
                </c:pt>
                <c:pt idx="596">
                  <c:v>-1.4673095579230389E-4</c:v>
                </c:pt>
                <c:pt idx="597">
                  <c:v>-4.6474767042885116E-5</c:v>
                </c:pt>
                <c:pt idx="598">
                  <c:v>5.3781421706533685E-5</c:v>
                </c:pt>
                <c:pt idx="599">
                  <c:v>1.5403761045595249E-4</c:v>
                </c:pt>
                <c:pt idx="600">
                  <c:v>-2.0249341135915316E-4</c:v>
                </c:pt>
                <c:pt idx="601">
                  <c:v>-1.0223722260973428E-4</c:v>
                </c:pt>
                <c:pt idx="602">
                  <c:v>-1.9810338603155593E-6</c:v>
                </c:pt>
                <c:pt idx="603">
                  <c:v>9.8275154889103269E-5</c:v>
                </c:pt>
                <c:pt idx="604">
                  <c:v>1.985313436385221E-4</c:v>
                </c:pt>
                <c:pt idx="605">
                  <c:v>-5.7743489427164668E-5</c:v>
                </c:pt>
                <c:pt idx="606">
                  <c:v>4.2512699322254106E-5</c:v>
                </c:pt>
                <c:pt idx="607">
                  <c:v>1.4276888807167291E-4</c:v>
                </c:pt>
                <c:pt idx="608">
                  <c:v>2.4302507682109171E-4</c:v>
                </c:pt>
                <c:pt idx="609">
                  <c:v>8.7006432504823717E-5</c:v>
                </c:pt>
                <c:pt idx="610">
                  <c:v>1.8726262125424252E-4</c:v>
                </c:pt>
                <c:pt idx="611">
                  <c:v>2.8751881000366132E-4</c:v>
                </c:pt>
                <c:pt idx="612">
                  <c:v>2.3175635443681213E-4</c:v>
                </c:pt>
                <c:pt idx="613">
                  <c:v>3.3201254318623093E-4</c:v>
                </c:pt>
                <c:pt idx="614">
                  <c:v>3.7650627636880054E-4</c:v>
                </c:pt>
                <c:pt idx="615">
                  <c:v>-3.4944146135919881E-4</c:v>
                </c:pt>
                <c:pt idx="616">
                  <c:v>-2.4918527260977999E-4</c:v>
                </c:pt>
                <c:pt idx="617">
                  <c:v>-1.4892908386036116E-4</c:v>
                </c:pt>
                <c:pt idx="618">
                  <c:v>-4.8672895110942382E-5</c:v>
                </c:pt>
                <c:pt idx="619">
                  <c:v>5.158329363847646E-5</c:v>
                </c:pt>
                <c:pt idx="620">
                  <c:v>1.5183948238789527E-4</c:v>
                </c:pt>
                <c:pt idx="621">
                  <c:v>-2.0469153942721037E-4</c:v>
                </c:pt>
                <c:pt idx="622">
                  <c:v>-1.0443535067779149E-4</c:v>
                </c:pt>
                <c:pt idx="623">
                  <c:v>-4.1791619283727713E-6</c:v>
                </c:pt>
                <c:pt idx="624">
                  <c:v>9.6077026821046044E-5</c:v>
                </c:pt>
                <c:pt idx="625">
                  <c:v>1.9633321557046489E-4</c:v>
                </c:pt>
                <c:pt idx="626">
                  <c:v>-5.9941617495221935E-5</c:v>
                </c:pt>
                <c:pt idx="627">
                  <c:v>4.0314571254196853E-5</c:v>
                </c:pt>
                <c:pt idx="628">
                  <c:v>1.405707600036157E-4</c:v>
                </c:pt>
                <c:pt idx="629">
                  <c:v>2.408269487530345E-4</c:v>
                </c:pt>
                <c:pt idx="630">
                  <c:v>8.4808304436766464E-5</c:v>
                </c:pt>
                <c:pt idx="631">
                  <c:v>1.8506449318618528E-4</c:v>
                </c:pt>
                <c:pt idx="632">
                  <c:v>2.8532068193560411E-4</c:v>
                </c:pt>
                <c:pt idx="633">
                  <c:v>2.2955822636875492E-4</c:v>
                </c:pt>
                <c:pt idx="634">
                  <c:v>3.2981441511817372E-4</c:v>
                </c:pt>
                <c:pt idx="635">
                  <c:v>3.7430814830074333E-4</c:v>
                </c:pt>
                <c:pt idx="636">
                  <c:v>-2.0688966749526759E-4</c:v>
                </c:pt>
                <c:pt idx="637">
                  <c:v>-1.066334787458487E-4</c:v>
                </c:pt>
                <c:pt idx="638">
                  <c:v>-6.3772899964299832E-6</c:v>
                </c:pt>
                <c:pt idx="639">
                  <c:v>9.3878898752988832E-5</c:v>
                </c:pt>
                <c:pt idx="640">
                  <c:v>1.9413508750240767E-4</c:v>
                </c:pt>
                <c:pt idx="641">
                  <c:v>-6.2139745563279092E-5</c:v>
                </c:pt>
                <c:pt idx="642">
                  <c:v>3.8116443186139641E-5</c:v>
                </c:pt>
                <c:pt idx="643">
                  <c:v>1.3837263193555846E-4</c:v>
                </c:pt>
                <c:pt idx="644">
                  <c:v>2.3862882068497729E-4</c:v>
                </c:pt>
                <c:pt idx="645">
                  <c:v>8.261017636870928E-5</c:v>
                </c:pt>
                <c:pt idx="646">
                  <c:v>1.8286636511812807E-4</c:v>
                </c:pt>
                <c:pt idx="647">
                  <c:v>2.831225538675469E-4</c:v>
                </c:pt>
                <c:pt idx="648">
                  <c:v>2.2736009830069768E-4</c:v>
                </c:pt>
                <c:pt idx="649">
                  <c:v>3.2761628705011651E-4</c:v>
                </c:pt>
                <c:pt idx="650">
                  <c:v>3.7211002023268612E-4</c:v>
                </c:pt>
                <c:pt idx="651">
                  <c:v>-6.4337873631336358E-5</c:v>
                </c:pt>
                <c:pt idx="652">
                  <c:v>3.5918315118082416E-5</c:v>
                </c:pt>
                <c:pt idx="653">
                  <c:v>1.3617450386750124E-4</c:v>
                </c:pt>
                <c:pt idx="654">
                  <c:v>2.3643069261692005E-4</c:v>
                </c:pt>
                <c:pt idx="655">
                  <c:v>8.0412048300652027E-5</c:v>
                </c:pt>
                <c:pt idx="656">
                  <c:v>1.8066823705007083E-4</c:v>
                </c:pt>
                <c:pt idx="657">
                  <c:v>2.8092442579948963E-4</c:v>
                </c:pt>
                <c:pt idx="658">
                  <c:v>2.2516197023264047E-4</c:v>
                </c:pt>
                <c:pt idx="659">
                  <c:v>3.254181589820593E-4</c:v>
                </c:pt>
                <c:pt idx="660">
                  <c:v>3.6991189216462891E-4</c:v>
                </c:pt>
                <c:pt idx="661">
                  <c:v>7.8213920232594815E-5</c:v>
                </c:pt>
                <c:pt idx="662">
                  <c:v>1.7847010898201362E-4</c:v>
                </c:pt>
                <c:pt idx="663">
                  <c:v>2.7872629773143247E-4</c:v>
                </c:pt>
                <c:pt idx="664">
                  <c:v>2.2296384216458325E-4</c:v>
                </c:pt>
                <c:pt idx="665">
                  <c:v>3.2322003091400208E-4</c:v>
                </c:pt>
                <c:pt idx="666">
                  <c:v>3.6771376409657169E-4</c:v>
                </c:pt>
                <c:pt idx="667">
                  <c:v>2.2076571409652599E-4</c:v>
                </c:pt>
                <c:pt idx="668">
                  <c:v>3.2102190284594482E-4</c:v>
                </c:pt>
                <c:pt idx="669">
                  <c:v>3.6551563602851443E-4</c:v>
                </c:pt>
                <c:pt idx="670">
                  <c:v>3.6331750796045727E-4</c:v>
                </c:pt>
                <c:pt idx="671">
                  <c:v>-5.8670345324623617E-4</c:v>
                </c:pt>
                <c:pt idx="672">
                  <c:v>-4.8644726449681734E-4</c:v>
                </c:pt>
                <c:pt idx="673">
                  <c:v>-3.8619107574739862E-4</c:v>
                </c:pt>
                <c:pt idx="674">
                  <c:v>-2.8593488699797979E-4</c:v>
                </c:pt>
                <c:pt idx="675">
                  <c:v>-1.8567869824856091E-4</c:v>
                </c:pt>
                <c:pt idx="676">
                  <c:v>-8.5422509499142132E-5</c:v>
                </c:pt>
                <c:pt idx="677">
                  <c:v>1.4833679250276697E-5</c:v>
                </c:pt>
                <c:pt idx="678">
                  <c:v>1.1508986799969551E-4</c:v>
                </c:pt>
                <c:pt idx="679">
                  <c:v>-4.4195353131424773E-4</c:v>
                </c:pt>
                <c:pt idx="680">
                  <c:v>-3.4169734256482901E-4</c:v>
                </c:pt>
                <c:pt idx="681">
                  <c:v>-2.4144115381541012E-4</c:v>
                </c:pt>
                <c:pt idx="682">
                  <c:v>-1.411849650659913E-4</c:v>
                </c:pt>
                <c:pt idx="683">
                  <c:v>-4.0928776316572467E-5</c:v>
                </c:pt>
                <c:pt idx="684">
                  <c:v>5.9327412432846281E-5</c:v>
                </c:pt>
                <c:pt idx="685">
                  <c:v>1.5958360118226511E-4</c:v>
                </c:pt>
                <c:pt idx="686">
                  <c:v>-2.9720360938225929E-4</c:v>
                </c:pt>
                <c:pt idx="687">
                  <c:v>-1.9694742063284051E-4</c:v>
                </c:pt>
                <c:pt idx="688">
                  <c:v>-9.6691231883421684E-5</c:v>
                </c:pt>
                <c:pt idx="689">
                  <c:v>3.5649568659970902E-6</c:v>
                </c:pt>
                <c:pt idx="690">
                  <c:v>1.0382114561541593E-4</c:v>
                </c:pt>
                <c:pt idx="691">
                  <c:v>2.0407733436483475E-4</c:v>
                </c:pt>
                <c:pt idx="692">
                  <c:v>-1.524536874502709E-4</c:v>
                </c:pt>
                <c:pt idx="693">
                  <c:v>-5.2197498700852019E-5</c:v>
                </c:pt>
                <c:pt idx="694">
                  <c:v>4.8058690048566701E-5</c:v>
                </c:pt>
                <c:pt idx="695">
                  <c:v>1.4831487879798553E-4</c:v>
                </c:pt>
                <c:pt idx="696">
                  <c:v>2.4857106754740436E-4</c:v>
                </c:pt>
                <c:pt idx="697">
                  <c:v>-7.703765518282435E-6</c:v>
                </c:pt>
                <c:pt idx="698">
                  <c:v>9.2552423231136339E-5</c:v>
                </c:pt>
                <c:pt idx="699">
                  <c:v>1.9280861198055517E-4</c:v>
                </c:pt>
                <c:pt idx="700">
                  <c:v>2.9306480072997397E-4</c:v>
                </c:pt>
                <c:pt idx="701">
                  <c:v>1.3704615641370595E-4</c:v>
                </c:pt>
                <c:pt idx="702">
                  <c:v>2.3730234516312475E-4</c:v>
                </c:pt>
                <c:pt idx="703">
                  <c:v>3.3755853391254358E-4</c:v>
                </c:pt>
                <c:pt idx="704">
                  <c:v>2.8179607834569436E-4</c:v>
                </c:pt>
                <c:pt idx="705">
                  <c:v>3.8205226709511319E-4</c:v>
                </c:pt>
                <c:pt idx="706">
                  <c:v>4.265460002776828E-4</c:v>
                </c:pt>
                <c:pt idx="707">
                  <c:v>-4.4415165938230488E-4</c:v>
                </c:pt>
                <c:pt idx="708">
                  <c:v>-3.4389547063288616E-4</c:v>
                </c:pt>
                <c:pt idx="709">
                  <c:v>-2.4363928188346739E-4</c:v>
                </c:pt>
                <c:pt idx="710">
                  <c:v>-1.4338309313404856E-4</c:v>
                </c:pt>
                <c:pt idx="711">
                  <c:v>-4.3126904384629733E-5</c:v>
                </c:pt>
                <c:pt idx="712">
                  <c:v>5.7129284364789069E-5</c:v>
                </c:pt>
                <c:pt idx="713">
                  <c:v>1.573854731142079E-4</c:v>
                </c:pt>
                <c:pt idx="714">
                  <c:v>-2.9940173745031655E-4</c:v>
                </c:pt>
                <c:pt idx="715">
                  <c:v>-1.9914554870089772E-4</c:v>
                </c:pt>
                <c:pt idx="716">
                  <c:v>-9.8889359951478896E-5</c:v>
                </c:pt>
                <c:pt idx="717">
                  <c:v>1.3668287979399054E-6</c:v>
                </c:pt>
                <c:pt idx="718">
                  <c:v>1.0162301754735871E-4</c:v>
                </c:pt>
                <c:pt idx="719">
                  <c:v>2.0187920629677751E-4</c:v>
                </c:pt>
                <c:pt idx="720">
                  <c:v>-1.5465181551832817E-4</c:v>
                </c:pt>
                <c:pt idx="721">
                  <c:v>-5.4395626768909285E-5</c:v>
                </c:pt>
                <c:pt idx="722">
                  <c:v>4.5860561980509462E-5</c:v>
                </c:pt>
                <c:pt idx="723">
                  <c:v>1.4611675072992832E-4</c:v>
                </c:pt>
                <c:pt idx="724">
                  <c:v>2.4637293947934715E-4</c:v>
                </c:pt>
                <c:pt idx="725">
                  <c:v>-9.9018935863396469E-6</c:v>
                </c:pt>
                <c:pt idx="726">
                  <c:v>9.0354295163079128E-5</c:v>
                </c:pt>
                <c:pt idx="727">
                  <c:v>1.9061048391249793E-4</c:v>
                </c:pt>
                <c:pt idx="728">
                  <c:v>2.9086667266191676E-4</c:v>
                </c:pt>
                <c:pt idx="729">
                  <c:v>1.3484802834564874E-4</c:v>
                </c:pt>
                <c:pt idx="730">
                  <c:v>2.3510421709506754E-4</c:v>
                </c:pt>
                <c:pt idx="731">
                  <c:v>3.3536040584448637E-4</c:v>
                </c:pt>
                <c:pt idx="732">
                  <c:v>2.7959795027763715E-4</c:v>
                </c:pt>
                <c:pt idx="733">
                  <c:v>3.7985413902705598E-4</c:v>
                </c:pt>
                <c:pt idx="734">
                  <c:v>4.2434787220962559E-4</c:v>
                </c:pt>
                <c:pt idx="735">
                  <c:v>-3.0159986551837382E-4</c:v>
                </c:pt>
                <c:pt idx="736">
                  <c:v>-2.0134367676895494E-4</c:v>
                </c:pt>
                <c:pt idx="737">
                  <c:v>-1.0108748801953611E-4</c:v>
                </c:pt>
                <c:pt idx="738">
                  <c:v>-8.3129927011733364E-7</c:v>
                </c:pt>
                <c:pt idx="739">
                  <c:v>9.9424889479301495E-5</c:v>
                </c:pt>
                <c:pt idx="740">
                  <c:v>1.996810782287203E-4</c:v>
                </c:pt>
                <c:pt idx="741">
                  <c:v>-1.5684994358638533E-4</c:v>
                </c:pt>
                <c:pt idx="742">
                  <c:v>-5.6593754836966443E-5</c:v>
                </c:pt>
                <c:pt idx="743">
                  <c:v>4.366243391245225E-5</c:v>
                </c:pt>
                <c:pt idx="744">
                  <c:v>1.4391862266187108E-4</c:v>
                </c:pt>
                <c:pt idx="745">
                  <c:v>2.4417481141128993E-4</c:v>
                </c:pt>
                <c:pt idx="746">
                  <c:v>-1.2100021654396886E-5</c:v>
                </c:pt>
                <c:pt idx="747">
                  <c:v>8.8156167095021888E-5</c:v>
                </c:pt>
                <c:pt idx="748">
                  <c:v>1.8841235584444072E-4</c:v>
                </c:pt>
                <c:pt idx="749">
                  <c:v>2.8866854459385955E-4</c:v>
                </c:pt>
                <c:pt idx="750">
                  <c:v>1.326499002775915E-4</c:v>
                </c:pt>
                <c:pt idx="751">
                  <c:v>2.329060890270103E-4</c:v>
                </c:pt>
                <c:pt idx="752">
                  <c:v>3.3316227777642916E-4</c:v>
                </c:pt>
                <c:pt idx="753">
                  <c:v>2.7739982220957994E-4</c:v>
                </c:pt>
                <c:pt idx="754">
                  <c:v>3.7765601095899877E-4</c:v>
                </c:pt>
                <c:pt idx="755">
                  <c:v>4.2214974414156838E-4</c:v>
                </c:pt>
                <c:pt idx="756">
                  <c:v>-1.5904807165444259E-4</c:v>
                </c:pt>
                <c:pt idx="757">
                  <c:v>-5.8791882905023709E-5</c:v>
                </c:pt>
                <c:pt idx="758">
                  <c:v>4.1464305844395011E-5</c:v>
                </c:pt>
                <c:pt idx="759">
                  <c:v>1.4172049459381384E-4</c:v>
                </c:pt>
                <c:pt idx="760">
                  <c:v>2.4197668334323267E-4</c:v>
                </c:pt>
                <c:pt idx="761">
                  <c:v>-1.4298149722454098E-5</c:v>
                </c:pt>
                <c:pt idx="762">
                  <c:v>8.5958039026964677E-5</c:v>
                </c:pt>
                <c:pt idx="763">
                  <c:v>1.8621422777638351E-4</c:v>
                </c:pt>
                <c:pt idx="764">
                  <c:v>2.8647041652580228E-4</c:v>
                </c:pt>
                <c:pt idx="765">
                  <c:v>1.3045177220953429E-4</c:v>
                </c:pt>
                <c:pt idx="766">
                  <c:v>2.3070796095895309E-4</c:v>
                </c:pt>
                <c:pt idx="767">
                  <c:v>3.3096414970837189E-4</c:v>
                </c:pt>
                <c:pt idx="768">
                  <c:v>2.7520169414152273E-4</c:v>
                </c:pt>
                <c:pt idx="769">
                  <c:v>3.754578828909415E-4</c:v>
                </c:pt>
                <c:pt idx="770">
                  <c:v>4.1995161607351117E-4</c:v>
                </c:pt>
                <c:pt idx="771">
                  <c:v>-1.649627779051131E-5</c:v>
                </c:pt>
                <c:pt idx="772">
                  <c:v>8.3759910958907465E-5</c:v>
                </c:pt>
                <c:pt idx="773">
                  <c:v>1.8401609970832629E-4</c:v>
                </c:pt>
                <c:pt idx="774">
                  <c:v>2.8427228845774507E-4</c:v>
                </c:pt>
                <c:pt idx="775">
                  <c:v>1.2825364414147708E-4</c:v>
                </c:pt>
                <c:pt idx="776">
                  <c:v>2.2850983289089585E-4</c:v>
                </c:pt>
                <c:pt idx="777">
                  <c:v>3.2876602164031473E-4</c:v>
                </c:pt>
                <c:pt idx="778">
                  <c:v>2.7300356607346552E-4</c:v>
                </c:pt>
                <c:pt idx="779">
                  <c:v>3.7325975482288434E-4</c:v>
                </c:pt>
                <c:pt idx="780">
                  <c:v>4.1775348800545396E-4</c:v>
                </c:pt>
                <c:pt idx="781">
                  <c:v>1.2605551607341984E-4</c:v>
                </c:pt>
                <c:pt idx="782">
                  <c:v>2.2631170482283864E-4</c:v>
                </c:pt>
                <c:pt idx="783">
                  <c:v>3.2656789357225747E-4</c:v>
                </c:pt>
                <c:pt idx="784">
                  <c:v>2.7080543800540825E-4</c:v>
                </c:pt>
                <c:pt idx="785">
                  <c:v>3.7106162675482708E-4</c:v>
                </c:pt>
                <c:pt idx="786">
                  <c:v>4.1555535993739669E-4</c:v>
                </c:pt>
                <c:pt idx="787">
                  <c:v>2.6860730993735104E-4</c:v>
                </c:pt>
                <c:pt idx="788">
                  <c:v>3.6886349868676987E-4</c:v>
                </c:pt>
                <c:pt idx="789">
                  <c:v>4.1335723186933948E-4</c:v>
                </c:pt>
                <c:pt idx="790">
                  <c:v>4.1115910380128227E-4</c:v>
                </c:pt>
                <c:pt idx="791">
                  <c:v>-3.9631006354147989E-4</c:v>
                </c:pt>
                <c:pt idx="792">
                  <c:v>-2.9605387479206117E-4</c:v>
                </c:pt>
                <c:pt idx="793">
                  <c:v>-1.9579768604264234E-4</c:v>
                </c:pt>
                <c:pt idx="794">
                  <c:v>-9.5541497293223513E-5</c:v>
                </c:pt>
                <c:pt idx="795">
                  <c:v>4.7146914561953159E-6</c:v>
                </c:pt>
                <c:pt idx="796">
                  <c:v>1.0497088020561409E-4</c:v>
                </c:pt>
                <c:pt idx="797">
                  <c:v>2.0522706895503292E-4</c:v>
                </c:pt>
                <c:pt idx="798">
                  <c:v>-2.5156014160949156E-4</c:v>
                </c:pt>
                <c:pt idx="799">
                  <c:v>-1.5130395286007268E-4</c:v>
                </c:pt>
                <c:pt idx="800">
                  <c:v>-5.1047764110653847E-5</c:v>
                </c:pt>
                <c:pt idx="801">
                  <c:v>4.9208424638764927E-5</c:v>
                </c:pt>
                <c:pt idx="802">
                  <c:v>1.4946461338818373E-4</c:v>
                </c:pt>
                <c:pt idx="803">
                  <c:v>2.4972080213760253E-4</c:v>
                </c:pt>
                <c:pt idx="804">
                  <c:v>-1.0681021967750312E-4</c:v>
                </c:pt>
                <c:pt idx="805">
                  <c:v>-6.5540309280842364E-6</c:v>
                </c:pt>
                <c:pt idx="806">
                  <c:v>9.3702157821334484E-5</c:v>
                </c:pt>
                <c:pt idx="807">
                  <c:v>1.9395834657075331E-4</c:v>
                </c:pt>
                <c:pt idx="808">
                  <c:v>2.9421453532017214E-4</c:v>
                </c:pt>
                <c:pt idx="809">
                  <c:v>3.7939702254485375E-5</c:v>
                </c:pt>
                <c:pt idx="810">
                  <c:v>1.3819589100390415E-4</c:v>
                </c:pt>
                <c:pt idx="811">
                  <c:v>2.3845207975332298E-4</c:v>
                </c:pt>
                <c:pt idx="812">
                  <c:v>3.3870826850274175E-4</c:v>
                </c:pt>
                <c:pt idx="813">
                  <c:v>1.8268962418647376E-4</c:v>
                </c:pt>
                <c:pt idx="814">
                  <c:v>2.8294581293589259E-4</c:v>
                </c:pt>
                <c:pt idx="815">
                  <c:v>3.8320200168531142E-4</c:v>
                </c:pt>
                <c:pt idx="816">
                  <c:v>3.274395461184622E-4</c:v>
                </c:pt>
                <c:pt idx="817">
                  <c:v>4.2769573486788103E-4</c:v>
                </c:pt>
                <c:pt idx="818">
                  <c:v>4.7218946805045064E-4</c:v>
                </c:pt>
                <c:pt idx="819">
                  <c:v>-2.5375826967754872E-4</c:v>
                </c:pt>
                <c:pt idx="820">
                  <c:v>-1.5350208092812994E-4</c:v>
                </c:pt>
                <c:pt idx="821">
                  <c:v>-5.3245892178711114E-5</c:v>
                </c:pt>
                <c:pt idx="822">
                  <c:v>4.7010296570707661E-5</c:v>
                </c:pt>
                <c:pt idx="823">
                  <c:v>1.4726648532012652E-4</c:v>
                </c:pt>
                <c:pt idx="824">
                  <c:v>2.4752267406954532E-4</c:v>
                </c:pt>
                <c:pt idx="825">
                  <c:v>-1.0900834774556033E-4</c:v>
                </c:pt>
                <c:pt idx="826">
                  <c:v>-8.7521589961414483E-6</c:v>
                </c:pt>
                <c:pt idx="827">
                  <c:v>9.1504029753277272E-5</c:v>
                </c:pt>
                <c:pt idx="828">
                  <c:v>1.917602185026961E-4</c:v>
                </c:pt>
                <c:pt idx="829">
                  <c:v>2.9201640725211493E-4</c:v>
                </c:pt>
                <c:pt idx="830">
                  <c:v>3.5741574186428109E-5</c:v>
                </c:pt>
                <c:pt idx="831">
                  <c:v>1.3599776293584691E-4</c:v>
                </c:pt>
                <c:pt idx="832">
                  <c:v>2.3625395168526577E-4</c:v>
                </c:pt>
                <c:pt idx="833">
                  <c:v>3.3651014043468454E-4</c:v>
                </c:pt>
                <c:pt idx="834">
                  <c:v>1.8049149611841652E-4</c:v>
                </c:pt>
                <c:pt idx="835">
                  <c:v>2.8074768486783532E-4</c:v>
                </c:pt>
                <c:pt idx="836">
                  <c:v>3.8100387361725415E-4</c:v>
                </c:pt>
                <c:pt idx="837">
                  <c:v>3.2524141805040499E-4</c:v>
                </c:pt>
                <c:pt idx="838">
                  <c:v>4.2549760679982376E-4</c:v>
                </c:pt>
                <c:pt idx="839">
                  <c:v>4.6999133998239337E-4</c:v>
                </c:pt>
                <c:pt idx="840">
                  <c:v>-1.1120647581361754E-4</c:v>
                </c:pt>
                <c:pt idx="841">
                  <c:v>-1.095028706419866E-5</c:v>
                </c:pt>
                <c:pt idx="842">
                  <c:v>8.930590168522006E-5</c:v>
                </c:pt>
                <c:pt idx="843">
                  <c:v>1.8956209043463889E-4</c:v>
                </c:pt>
                <c:pt idx="844">
                  <c:v>2.8981827918405772E-4</c:v>
                </c:pt>
                <c:pt idx="845">
                  <c:v>3.3543446118370951E-5</c:v>
                </c:pt>
                <c:pt idx="846">
                  <c:v>1.337996348677897E-4</c:v>
                </c:pt>
                <c:pt idx="847">
                  <c:v>2.3405582361720853E-4</c:v>
                </c:pt>
                <c:pt idx="848">
                  <c:v>3.3431201236662733E-4</c:v>
                </c:pt>
                <c:pt idx="849">
                  <c:v>1.7829336805035934E-4</c:v>
                </c:pt>
                <c:pt idx="850">
                  <c:v>2.7854955679977811E-4</c:v>
                </c:pt>
                <c:pt idx="851">
                  <c:v>3.7880574554919694E-4</c:v>
                </c:pt>
                <c:pt idx="852">
                  <c:v>3.2304328998234772E-4</c:v>
                </c:pt>
                <c:pt idx="853">
                  <c:v>4.2329947873176655E-4</c:v>
                </c:pt>
                <c:pt idx="854">
                  <c:v>4.6779321191433622E-4</c:v>
                </c:pt>
                <c:pt idx="855">
                  <c:v>3.1345318050313685E-5</c:v>
                </c:pt>
                <c:pt idx="856">
                  <c:v>1.3160150679973246E-4</c:v>
                </c:pt>
                <c:pt idx="857">
                  <c:v>2.3185769554915129E-4</c:v>
                </c:pt>
                <c:pt idx="858">
                  <c:v>3.3211388429857012E-4</c:v>
                </c:pt>
                <c:pt idx="859">
                  <c:v>1.7609523998230207E-4</c:v>
                </c:pt>
                <c:pt idx="860">
                  <c:v>2.763514287317209E-4</c:v>
                </c:pt>
                <c:pt idx="861">
                  <c:v>3.7660761748113973E-4</c:v>
                </c:pt>
                <c:pt idx="862">
                  <c:v>3.2084516191429051E-4</c:v>
                </c:pt>
                <c:pt idx="863">
                  <c:v>4.2110135066370934E-4</c:v>
                </c:pt>
                <c:pt idx="864">
                  <c:v>4.6559508384627895E-4</c:v>
                </c:pt>
                <c:pt idx="865">
                  <c:v>1.7389711191424486E-4</c:v>
                </c:pt>
                <c:pt idx="866">
                  <c:v>2.7415330066366369E-4</c:v>
                </c:pt>
                <c:pt idx="867">
                  <c:v>3.7440948941308252E-4</c:v>
                </c:pt>
                <c:pt idx="868">
                  <c:v>3.186470338462333E-4</c:v>
                </c:pt>
                <c:pt idx="869">
                  <c:v>4.1890322259565213E-4</c:v>
                </c:pt>
                <c:pt idx="870">
                  <c:v>4.6339695577822174E-4</c:v>
                </c:pt>
                <c:pt idx="871">
                  <c:v>3.1644890577817609E-4</c:v>
                </c:pt>
                <c:pt idx="872">
                  <c:v>4.1670509452759491E-4</c:v>
                </c:pt>
                <c:pt idx="873">
                  <c:v>4.6119882771016453E-4</c:v>
                </c:pt>
                <c:pt idx="874">
                  <c:v>4.5900069964210726E-4</c:v>
                </c:pt>
                <c:pt idx="875">
                  <c:v>-2.0591667383672372E-4</c:v>
                </c:pt>
                <c:pt idx="876">
                  <c:v>-1.0566048508730489E-4</c:v>
                </c:pt>
                <c:pt idx="877">
                  <c:v>-5.4042963378860649E-6</c:v>
                </c:pt>
                <c:pt idx="878">
                  <c:v>9.485189241153271E-5</c:v>
                </c:pt>
                <c:pt idx="879">
                  <c:v>1.9510808116095154E-4</c:v>
                </c:pt>
                <c:pt idx="880">
                  <c:v>2.9536426991037031E-4</c:v>
                </c:pt>
                <c:pt idx="881">
                  <c:v>-6.1166751904735282E-5</c:v>
                </c:pt>
                <c:pt idx="882">
                  <c:v>3.90894368446836E-5</c:v>
                </c:pt>
                <c:pt idx="883">
                  <c:v>1.3934562559410229E-4</c:v>
                </c:pt>
                <c:pt idx="884">
                  <c:v>2.3960181434352112E-4</c:v>
                </c:pt>
                <c:pt idx="885">
                  <c:v>3.3985800309293998E-4</c:v>
                </c:pt>
                <c:pt idx="886">
                  <c:v>8.3583170027253157E-5</c:v>
                </c:pt>
                <c:pt idx="887">
                  <c:v>1.8383935877667193E-4</c:v>
                </c:pt>
                <c:pt idx="888">
                  <c:v>2.8409554752609076E-4</c:v>
                </c:pt>
                <c:pt idx="889">
                  <c:v>3.8435173627550959E-4</c:v>
                </c:pt>
                <c:pt idx="890">
                  <c:v>2.2833309195924154E-4</c:v>
                </c:pt>
                <c:pt idx="891">
                  <c:v>3.2858928070866037E-4</c:v>
                </c:pt>
                <c:pt idx="892">
                  <c:v>4.288454694580792E-4</c:v>
                </c:pt>
                <c:pt idx="893">
                  <c:v>3.7308301389122998E-4</c:v>
                </c:pt>
                <c:pt idx="894">
                  <c:v>4.7333920264064881E-4</c:v>
                </c:pt>
                <c:pt idx="895">
                  <c:v>5.1783293582321837E-4</c:v>
                </c:pt>
                <c:pt idx="896">
                  <c:v>-6.3364879972792549E-5</c:v>
                </c:pt>
                <c:pt idx="897">
                  <c:v>3.6891308776626334E-5</c:v>
                </c:pt>
                <c:pt idx="898">
                  <c:v>1.3714749752604508E-4</c:v>
                </c:pt>
                <c:pt idx="899">
                  <c:v>2.3740368627546391E-4</c:v>
                </c:pt>
                <c:pt idx="900">
                  <c:v>3.3765987502488277E-4</c:v>
                </c:pt>
                <c:pt idx="901">
                  <c:v>8.1385041959195945E-5</c:v>
                </c:pt>
                <c:pt idx="902">
                  <c:v>1.8164123070861472E-4</c:v>
                </c:pt>
                <c:pt idx="903">
                  <c:v>2.8189741945803355E-4</c:v>
                </c:pt>
                <c:pt idx="904">
                  <c:v>3.8215360820745238E-4</c:v>
                </c:pt>
                <c:pt idx="905">
                  <c:v>2.2613496389118436E-4</c:v>
                </c:pt>
                <c:pt idx="906">
                  <c:v>3.2639115264060316E-4</c:v>
                </c:pt>
                <c:pt idx="907">
                  <c:v>4.2664734139002199E-4</c:v>
                </c:pt>
                <c:pt idx="908">
                  <c:v>3.7088488582317277E-4</c:v>
                </c:pt>
                <c:pt idx="909">
                  <c:v>4.711410745725916E-4</c:v>
                </c:pt>
                <c:pt idx="910">
                  <c:v>5.1563480775516121E-4</c:v>
                </c:pt>
                <c:pt idx="911">
                  <c:v>7.9186913891138733E-5</c:v>
                </c:pt>
                <c:pt idx="912">
                  <c:v>1.7944310264055751E-4</c:v>
                </c:pt>
                <c:pt idx="913">
                  <c:v>2.7969929138997634E-4</c:v>
                </c:pt>
                <c:pt idx="914">
                  <c:v>3.7995548013939511E-4</c:v>
                </c:pt>
                <c:pt idx="915">
                  <c:v>2.2393683582312712E-4</c:v>
                </c:pt>
                <c:pt idx="916">
                  <c:v>3.2419302457254589E-4</c:v>
                </c:pt>
                <c:pt idx="917">
                  <c:v>4.2444921332196472E-4</c:v>
                </c:pt>
                <c:pt idx="918">
                  <c:v>3.6868675775511556E-4</c:v>
                </c:pt>
                <c:pt idx="919">
                  <c:v>4.6894294650453433E-4</c:v>
                </c:pt>
                <c:pt idx="920">
                  <c:v>5.1343667968710394E-4</c:v>
                </c:pt>
                <c:pt idx="921">
                  <c:v>2.2173870775506991E-4</c:v>
                </c:pt>
                <c:pt idx="922">
                  <c:v>3.2199489650448868E-4</c:v>
                </c:pt>
                <c:pt idx="923">
                  <c:v>4.2225108525390751E-4</c:v>
                </c:pt>
                <c:pt idx="924">
                  <c:v>3.6648862968705835E-4</c:v>
                </c:pt>
                <c:pt idx="925">
                  <c:v>4.6674481843647718E-4</c:v>
                </c:pt>
                <c:pt idx="926">
                  <c:v>5.1123855161904679E-4</c:v>
                </c:pt>
                <c:pt idx="927">
                  <c:v>3.6429050161900108E-4</c:v>
                </c:pt>
                <c:pt idx="928">
                  <c:v>4.6454669036841991E-4</c:v>
                </c:pt>
                <c:pt idx="929">
                  <c:v>5.0904042355098952E-4</c:v>
                </c:pt>
                <c:pt idx="930">
                  <c:v>5.0684229548293236E-4</c:v>
                </c:pt>
                <c:pt idx="931">
                  <c:v>-1.55232841319675E-5</c:v>
                </c:pt>
                <c:pt idx="932">
                  <c:v>8.4732904617451383E-5</c:v>
                </c:pt>
                <c:pt idx="933">
                  <c:v>1.849890933668701E-4</c:v>
                </c:pt>
                <c:pt idx="934">
                  <c:v>2.8524528211628893E-4</c:v>
                </c:pt>
                <c:pt idx="935">
                  <c:v>3.8550147086570776E-4</c:v>
                </c:pt>
                <c:pt idx="936">
                  <c:v>1.2922663780002099E-4</c:v>
                </c:pt>
                <c:pt idx="937">
                  <c:v>2.2948282654943974E-4</c:v>
                </c:pt>
                <c:pt idx="938">
                  <c:v>3.2973901529885854E-4</c:v>
                </c:pt>
                <c:pt idx="939">
                  <c:v>4.2999520404827737E-4</c:v>
                </c:pt>
                <c:pt idx="940">
                  <c:v>2.7397655973200938E-4</c:v>
                </c:pt>
                <c:pt idx="941">
                  <c:v>3.7423274848142815E-4</c:v>
                </c:pt>
                <c:pt idx="942">
                  <c:v>4.7448893723084698E-4</c:v>
                </c:pt>
                <c:pt idx="943">
                  <c:v>4.1872648166399776E-4</c:v>
                </c:pt>
                <c:pt idx="944">
                  <c:v>5.1898267041341659E-4</c:v>
                </c:pt>
                <c:pt idx="945">
                  <c:v>5.634764035959862E-4</c:v>
                </c:pt>
                <c:pt idx="946">
                  <c:v>1.2702850973196373E-4</c:v>
                </c:pt>
                <c:pt idx="947">
                  <c:v>2.2728469848138253E-4</c:v>
                </c:pt>
                <c:pt idx="948">
                  <c:v>3.2754088723080139E-4</c:v>
                </c:pt>
                <c:pt idx="949">
                  <c:v>4.2779707598022016E-4</c:v>
                </c:pt>
                <c:pt idx="950">
                  <c:v>2.7177843166395217E-4</c:v>
                </c:pt>
                <c:pt idx="951">
                  <c:v>3.7203462041337094E-4</c:v>
                </c:pt>
                <c:pt idx="952">
                  <c:v>4.7229080916278977E-4</c:v>
                </c:pt>
                <c:pt idx="953">
                  <c:v>4.1652835359594061E-4</c:v>
                </c:pt>
                <c:pt idx="954">
                  <c:v>5.1678454234535944E-4</c:v>
                </c:pt>
                <c:pt idx="955">
                  <c:v>5.6127827552792905E-4</c:v>
                </c:pt>
                <c:pt idx="956">
                  <c:v>2.695803035958949E-4</c:v>
                </c:pt>
                <c:pt idx="957">
                  <c:v>3.6983649234531373E-4</c:v>
                </c:pt>
                <c:pt idx="958">
                  <c:v>4.7009268109473256E-4</c:v>
                </c:pt>
                <c:pt idx="959">
                  <c:v>4.1433022552788334E-4</c:v>
                </c:pt>
                <c:pt idx="960">
                  <c:v>5.1458641427730217E-4</c:v>
                </c:pt>
                <c:pt idx="961">
                  <c:v>5.5908014745987178E-4</c:v>
                </c:pt>
                <c:pt idx="962">
                  <c:v>4.1213209745982613E-4</c:v>
                </c:pt>
                <c:pt idx="963">
                  <c:v>5.123882862092449E-4</c:v>
                </c:pt>
                <c:pt idx="964">
                  <c:v>5.5688201939181462E-4</c:v>
                </c:pt>
                <c:pt idx="965">
                  <c:v>5.5468389132375736E-4</c:v>
                </c:pt>
                <c:pt idx="966">
                  <c:v>1.7487010557278878E-4</c:v>
                </c:pt>
                <c:pt idx="967">
                  <c:v>2.7512629432220755E-4</c:v>
                </c:pt>
                <c:pt idx="968">
                  <c:v>3.7538248307162638E-4</c:v>
                </c:pt>
                <c:pt idx="969">
                  <c:v>4.7563867182104521E-4</c:v>
                </c:pt>
                <c:pt idx="970">
                  <c:v>3.1962002750477716E-4</c:v>
                </c:pt>
                <c:pt idx="971">
                  <c:v>4.1987621625419599E-4</c:v>
                </c:pt>
                <c:pt idx="972">
                  <c:v>5.2013240500361482E-4</c:v>
                </c:pt>
                <c:pt idx="973">
                  <c:v>4.643699494367656E-4</c:v>
                </c:pt>
                <c:pt idx="974">
                  <c:v>5.6462613818618443E-4</c:v>
                </c:pt>
                <c:pt idx="975">
                  <c:v>6.0911987136875404E-4</c:v>
                </c:pt>
                <c:pt idx="976">
                  <c:v>3.1742189943671995E-4</c:v>
                </c:pt>
                <c:pt idx="977">
                  <c:v>4.1767808818613872E-4</c:v>
                </c:pt>
                <c:pt idx="978">
                  <c:v>5.1793427693555755E-4</c:v>
                </c:pt>
                <c:pt idx="979">
                  <c:v>4.6217182136870839E-4</c:v>
                </c:pt>
                <c:pt idx="980">
                  <c:v>5.6242801011812716E-4</c:v>
                </c:pt>
                <c:pt idx="981">
                  <c:v>6.0692174330069678E-4</c:v>
                </c:pt>
                <c:pt idx="982">
                  <c:v>4.5997369330065118E-4</c:v>
                </c:pt>
                <c:pt idx="983">
                  <c:v>5.6022988205007001E-4</c:v>
                </c:pt>
                <c:pt idx="984">
                  <c:v>6.0472361523263962E-4</c:v>
                </c:pt>
                <c:pt idx="985">
                  <c:v>6.0252548716458235E-4</c:v>
                </c:pt>
                <c:pt idx="986">
                  <c:v>3.65263495277545E-4</c:v>
                </c:pt>
                <c:pt idx="987">
                  <c:v>4.6551968402696377E-4</c:v>
                </c:pt>
                <c:pt idx="988">
                  <c:v>5.6577587277638255E-4</c:v>
                </c:pt>
                <c:pt idx="989">
                  <c:v>5.1001341720953344E-4</c:v>
                </c:pt>
                <c:pt idx="990">
                  <c:v>6.1026960595895227E-4</c:v>
                </c:pt>
                <c:pt idx="991">
                  <c:v>6.5476333914152188E-4</c:v>
                </c:pt>
                <c:pt idx="992">
                  <c:v>5.0781528914147617E-4</c:v>
                </c:pt>
                <c:pt idx="993">
                  <c:v>6.08071477890895E-4</c:v>
                </c:pt>
                <c:pt idx="994">
                  <c:v>6.5256521107346461E-4</c:v>
                </c:pt>
                <c:pt idx="995">
                  <c:v>6.5036708300540735E-4</c:v>
                </c:pt>
                <c:pt idx="996">
                  <c:v>5.5565688498230117E-4</c:v>
                </c:pt>
                <c:pt idx="997">
                  <c:v>6.5591307373172E-4</c:v>
                </c:pt>
                <c:pt idx="998">
                  <c:v>7.0040680691428961E-4</c:v>
                </c:pt>
                <c:pt idx="999">
                  <c:v>6.9820867884623245E-4</c:v>
                </c:pt>
                <c:pt idx="1000">
                  <c:v>7.4605027468705744E-4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6-4903-920A-593F91DF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986976"/>
        <c:axId val="1898624848"/>
      </c:scatterChart>
      <c:valAx>
        <c:axId val="1233986976"/>
        <c:scaling>
          <c:orientation val="minMax"/>
          <c:min val="7.0000000000000019E-3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98624848"/>
        <c:crosses val="autoZero"/>
        <c:crossBetween val="midCat"/>
      </c:valAx>
      <c:valAx>
        <c:axId val="1898624848"/>
        <c:scaling>
          <c:orientation val="minMax"/>
          <c:max val="8.1000000000000028E-4"/>
          <c:min val="-1.2500000000000002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398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438005</xdr:colOff>
      <xdr:row>13</xdr:row>
      <xdr:rowOff>88034</xdr:rowOff>
    </xdr:from>
    <xdr:to>
      <xdr:col>28</xdr:col>
      <xdr:colOff>503670</xdr:colOff>
      <xdr:row>49</xdr:row>
      <xdr:rowOff>64223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BE08BE-FA4C-4E82-BDE1-011A257C2C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3"/>
  <sheetViews>
    <sheetView tabSelected="1" topLeftCell="H1" zoomScale="110" zoomScaleNormal="110" workbookViewId="0">
      <selection activeCell="U2" sqref="U2"/>
    </sheetView>
  </sheetViews>
  <sheetFormatPr defaultColWidth="10.90625" defaultRowHeight="14.5" x14ac:dyDescent="0.35"/>
  <cols>
    <col min="5" max="5" width="12.26953125" bestFit="1" customWidth="1"/>
    <col min="6" max="6" width="12" bestFit="1" customWidth="1"/>
    <col min="7" max="7" width="11.54296875" bestFit="1" customWidth="1"/>
    <col min="8" max="8" width="11.1796875" customWidth="1"/>
    <col min="9" max="9" width="12.26953125" bestFit="1" customWidth="1"/>
    <col min="10" max="10" width="14.08984375" bestFit="1" customWidth="1"/>
    <col min="11" max="11" width="13.6328125" bestFit="1" customWidth="1"/>
    <col min="17" max="17" width="12.08984375" bestFit="1" customWidth="1"/>
    <col min="18" max="18" width="11" bestFit="1" customWidth="1"/>
    <col min="19" max="19" width="12.90625" bestFit="1" customWidth="1"/>
    <col min="20" max="20" width="14.6328125" bestFit="1" customWidth="1"/>
    <col min="21" max="22" width="12.90625" bestFit="1" customWidth="1"/>
    <col min="23" max="23" width="13.08984375" bestFit="1" customWidth="1"/>
    <col min="24" max="24" width="14.90625" bestFit="1" customWidth="1"/>
    <col min="25" max="25" width="14.54296875" bestFit="1" customWidth="1"/>
  </cols>
  <sheetData>
    <row r="1" spans="1:26" x14ac:dyDescent="0.35">
      <c r="A1" s="19" t="s">
        <v>6</v>
      </c>
      <c r="B1" s="19"/>
      <c r="C1" s="19"/>
      <c r="D1" s="19"/>
      <c r="E1" s="19"/>
      <c r="F1" s="20"/>
      <c r="G1" s="23" t="s">
        <v>13</v>
      </c>
      <c r="H1" s="24"/>
      <c r="I1" s="24"/>
      <c r="J1" s="24"/>
      <c r="K1" s="25"/>
      <c r="L1" s="21" t="s">
        <v>7</v>
      </c>
      <c r="M1" s="21"/>
      <c r="N1" s="21"/>
      <c r="O1" s="21"/>
      <c r="P1" s="22"/>
      <c r="Q1" s="26" t="s">
        <v>32</v>
      </c>
      <c r="R1" s="27"/>
      <c r="S1" s="27"/>
    </row>
    <row r="2" spans="1:26" x14ac:dyDescent="0.3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7" t="s">
        <v>5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1" t="s">
        <v>25</v>
      </c>
      <c r="M2" s="1" t="s">
        <v>26</v>
      </c>
      <c r="N2" s="1" t="s">
        <v>27</v>
      </c>
      <c r="O2" s="1" t="s">
        <v>28</v>
      </c>
      <c r="P2" s="13" t="s">
        <v>29</v>
      </c>
      <c r="Q2" s="11" t="s">
        <v>31</v>
      </c>
      <c r="R2" s="10" t="s">
        <v>19</v>
      </c>
      <c r="S2" s="15" t="s">
        <v>30</v>
      </c>
    </row>
    <row r="3" spans="1:26" x14ac:dyDescent="0.35">
      <c r="A3" s="4">
        <v>43438</v>
      </c>
      <c r="B3" s="2">
        <v>50.799999</v>
      </c>
      <c r="C3" s="2">
        <v>16.289524</v>
      </c>
      <c r="D3" s="2">
        <v>37.590206000000002</v>
      </c>
      <c r="E3" s="2">
        <v>49.541328</v>
      </c>
      <c r="F3" s="8">
        <v>894.80859399999997</v>
      </c>
      <c r="G3" s="12"/>
      <c r="H3" s="3"/>
      <c r="I3" s="3"/>
      <c r="J3" s="3"/>
      <c r="K3" s="14"/>
      <c r="L3" s="9">
        <v>1</v>
      </c>
      <c r="M3" s="2">
        <v>0</v>
      </c>
      <c r="N3" s="2">
        <v>0</v>
      </c>
      <c r="O3" s="2">
        <v>0</v>
      </c>
      <c r="P3" s="8">
        <v>0</v>
      </c>
      <c r="Q3" s="12">
        <f t="shared" ref="Q3:Q66" si="0">SUMPRODUCT($U$5:$Y$5,L3:P3)</f>
        <v>-1.1578836223605049E-3</v>
      </c>
      <c r="R3" s="3">
        <f t="shared" ref="R3:R66" si="1">POWER(L3,2)*$V$9+POWER(M3,2)*$W$10+POWER(N3,2)*$X$11+POWER(O3,2)*$Y$12+POWER(P3,2)*$Z$13+2*(L3*M3*$V$10+N3*O3*$X$12+N3*P3*$X$13+$O$3*P3*$Y$13+L3*N3*$V$11+L3*O3*$V$12+L3*P3*$V$13+M3*N3*$W$11+M3*O3*$W$12+M3*P3*$W$13)</f>
        <v>1.0734199793310693E-3</v>
      </c>
      <c r="S3" s="14">
        <f>SQRT(R3)</f>
        <v>3.2763088672026472E-2</v>
      </c>
      <c r="U3" s="28" t="s">
        <v>33</v>
      </c>
      <c r="V3" s="28"/>
      <c r="W3" s="28"/>
      <c r="X3" s="28"/>
      <c r="Y3" s="28"/>
    </row>
    <row r="4" spans="1:26" x14ac:dyDescent="0.35">
      <c r="A4" s="4">
        <v>43439</v>
      </c>
      <c r="B4" s="2">
        <v>50.77</v>
      </c>
      <c r="C4" s="2">
        <v>16.466176999999998</v>
      </c>
      <c r="D4" s="2">
        <v>38.009608999999998</v>
      </c>
      <c r="E4" s="2">
        <v>48.756644999999999</v>
      </c>
      <c r="F4" s="8">
        <v>891.40496800000005</v>
      </c>
      <c r="G4" s="12">
        <f>LN(B4/B3)</f>
        <v>-5.9070594009356253E-4</v>
      </c>
      <c r="H4" s="3">
        <f t="shared" ref="H4:K4" si="2">LN(C4/C3)</f>
        <v>1.0786196435084676E-2</v>
      </c>
      <c r="I4" s="3">
        <f t="shared" si="2"/>
        <v>1.1095458439638118E-2</v>
      </c>
      <c r="J4" s="3">
        <f t="shared" si="2"/>
        <v>-1.5965734475720337E-2</v>
      </c>
      <c r="K4" s="14">
        <f t="shared" si="2"/>
        <v>-3.8110001982419226E-3</v>
      </c>
      <c r="L4" s="9">
        <v>0.9</v>
      </c>
      <c r="M4" s="2">
        <v>0.1</v>
      </c>
      <c r="N4" s="2">
        <v>0</v>
      </c>
      <c r="O4" s="2">
        <v>0</v>
      </c>
      <c r="P4" s="8">
        <v>0</v>
      </c>
      <c r="Q4" s="12">
        <f t="shared" si="0"/>
        <v>-1.0576274336110861E-3</v>
      </c>
      <c r="R4" s="3">
        <f t="shared" si="1"/>
        <v>8.9716363120561976E-4</v>
      </c>
      <c r="S4" s="14">
        <f t="shared" ref="S4:S67" si="3">SQRT(R4)</f>
        <v>2.9952689882640254E-2</v>
      </c>
      <c r="U4" s="3" t="s">
        <v>14</v>
      </c>
      <c r="V4" s="3" t="s">
        <v>15</v>
      </c>
      <c r="W4" s="3" t="s">
        <v>16</v>
      </c>
      <c r="X4" s="3" t="s">
        <v>17</v>
      </c>
      <c r="Y4" s="3" t="s">
        <v>18</v>
      </c>
    </row>
    <row r="5" spans="1:26" x14ac:dyDescent="0.35">
      <c r="A5" s="4">
        <v>43440</v>
      </c>
      <c r="B5" s="2">
        <v>50.310001</v>
      </c>
      <c r="C5" s="2">
        <v>17.293669000000001</v>
      </c>
      <c r="D5" s="2">
        <v>37.960838000000003</v>
      </c>
      <c r="E5" s="2">
        <v>48.369152</v>
      </c>
      <c r="F5" s="8">
        <v>890.13488800000005</v>
      </c>
      <c r="G5" s="12">
        <f t="shared" ref="G5:G68" si="4">LN(B5/B4)</f>
        <v>-9.1017445793119961E-3</v>
      </c>
      <c r="H5" s="3">
        <f t="shared" ref="H5:H68" si="5">LN(C5/C4)</f>
        <v>4.9032082527577674E-2</v>
      </c>
      <c r="I5" s="3">
        <f t="shared" ref="I5:I68" si="6">LN(D5/D4)</f>
        <v>-1.2839468142129E-3</v>
      </c>
      <c r="J5" s="3">
        <f t="shared" ref="J5:J68" si="7">LN(E5/E4)</f>
        <v>-7.9792406937082092E-3</v>
      </c>
      <c r="K5" s="14">
        <f t="shared" ref="K5:K68" si="8">LN(F5/F4)</f>
        <v>-1.4258229597190297E-3</v>
      </c>
      <c r="L5" s="9">
        <v>0.8</v>
      </c>
      <c r="M5" s="2">
        <v>0.2</v>
      </c>
      <c r="N5" s="2">
        <v>0</v>
      </c>
      <c r="O5" s="2">
        <v>0</v>
      </c>
      <c r="P5" s="8">
        <v>0</v>
      </c>
      <c r="Q5" s="12">
        <f t="shared" si="0"/>
        <v>-9.5737124486166723E-4</v>
      </c>
      <c r="R5" s="3">
        <f t="shared" si="1"/>
        <v>7.454752631613008E-4</v>
      </c>
      <c r="S5" s="14">
        <f t="shared" si="3"/>
        <v>2.7303392887355608E-2</v>
      </c>
      <c r="U5" s="3">
        <f>AVERAGE(G4:G504)</f>
        <v>-1.1578836223605049E-3</v>
      </c>
      <c r="V5" s="3">
        <f>AVERAGE(H4:H504)</f>
        <v>-1.5532173486631676E-4</v>
      </c>
      <c r="W5" s="3">
        <f>AVERAGE(I4:I504)</f>
        <v>2.896155969593794E-4</v>
      </c>
      <c r="X5" s="3">
        <f>AVERAGE(J4:J504)</f>
        <v>2.6763431627880717E-4</v>
      </c>
      <c r="Y5" s="3">
        <f>AVERAGE(K4:K504)</f>
        <v>7.4605027468705744E-4</v>
      </c>
    </row>
    <row r="6" spans="1:26" x14ac:dyDescent="0.35">
      <c r="A6" s="4">
        <v>43441</v>
      </c>
      <c r="B6" s="2">
        <v>50.110000999999997</v>
      </c>
      <c r="C6" s="2">
        <v>17.925913000000001</v>
      </c>
      <c r="D6" s="2">
        <v>38.038868000000001</v>
      </c>
      <c r="E6" s="2">
        <v>48.194777999999999</v>
      </c>
      <c r="F6" s="8">
        <v>883.50616500000001</v>
      </c>
      <c r="G6" s="12">
        <f t="shared" si="4"/>
        <v>-3.9832754522613947E-3</v>
      </c>
      <c r="H6" s="3">
        <f t="shared" si="5"/>
        <v>3.5906838868571767E-2</v>
      </c>
      <c r="I6" s="3">
        <f t="shared" si="6"/>
        <v>2.0534297176955834E-3</v>
      </c>
      <c r="J6" s="3">
        <f t="shared" si="7"/>
        <v>-3.6115802150430143E-3</v>
      </c>
      <c r="K6" s="14">
        <f t="shared" si="8"/>
        <v>-7.4747411286608997E-3</v>
      </c>
      <c r="L6" s="9">
        <v>0.7</v>
      </c>
      <c r="M6" s="2">
        <v>0.3</v>
      </c>
      <c r="N6" s="2">
        <v>0</v>
      </c>
      <c r="O6" s="2">
        <v>0</v>
      </c>
      <c r="P6" s="8">
        <v>0</v>
      </c>
      <c r="Q6" s="12">
        <f t="shared" si="0"/>
        <v>-8.571150561122484E-4</v>
      </c>
      <c r="R6" s="3">
        <f t="shared" si="1"/>
        <v>6.18354875198112E-4</v>
      </c>
      <c r="S6" s="14">
        <f t="shared" si="3"/>
        <v>2.4866742351946948E-2</v>
      </c>
    </row>
    <row r="7" spans="1:26" x14ac:dyDescent="0.35">
      <c r="A7" s="4">
        <v>43444</v>
      </c>
      <c r="B7" s="2">
        <v>50</v>
      </c>
      <c r="C7" s="2">
        <v>18.018888</v>
      </c>
      <c r="D7" s="2">
        <v>37.990101000000003</v>
      </c>
      <c r="E7" s="2">
        <v>48.417586999999997</v>
      </c>
      <c r="F7" s="8">
        <v>877.28436299999998</v>
      </c>
      <c r="G7" s="12">
        <f t="shared" si="4"/>
        <v>-2.1976034995834929E-3</v>
      </c>
      <c r="H7" s="3">
        <f t="shared" si="5"/>
        <v>5.1732214264509366E-3</v>
      </c>
      <c r="I7" s="3">
        <f t="shared" si="6"/>
        <v>-1.2828532947233692E-3</v>
      </c>
      <c r="J7" s="3">
        <f t="shared" si="7"/>
        <v>4.6124405507383852E-3</v>
      </c>
      <c r="K7" s="14">
        <f t="shared" si="8"/>
        <v>-7.0670846940808539E-3</v>
      </c>
      <c r="L7" s="9">
        <v>0.6</v>
      </c>
      <c r="M7" s="2">
        <v>0.4</v>
      </c>
      <c r="N7" s="2">
        <v>0</v>
      </c>
      <c r="O7" s="2">
        <v>0</v>
      </c>
      <c r="P7" s="8">
        <v>0</v>
      </c>
      <c r="Q7" s="12">
        <f t="shared" si="0"/>
        <v>-7.5685886736282957E-4</v>
      </c>
      <c r="R7" s="3">
        <f t="shared" si="1"/>
        <v>5.1580246731605412E-4</v>
      </c>
      <c r="S7" s="14">
        <f t="shared" si="3"/>
        <v>2.2711285021241184E-2</v>
      </c>
      <c r="U7" s="29" t="s">
        <v>34</v>
      </c>
      <c r="V7" s="29"/>
      <c r="W7" s="29"/>
      <c r="X7" s="29"/>
      <c r="Y7" s="29"/>
      <c r="Z7" s="29"/>
    </row>
    <row r="8" spans="1:26" x14ac:dyDescent="0.35">
      <c r="A8" s="4">
        <v>43445</v>
      </c>
      <c r="B8" s="2">
        <v>49.639999000000003</v>
      </c>
      <c r="C8" s="2">
        <v>18.409389000000001</v>
      </c>
      <c r="D8" s="2">
        <v>37.619464999999998</v>
      </c>
      <c r="E8" s="2">
        <v>48.717899000000003</v>
      </c>
      <c r="F8" s="8">
        <v>867.00396699999999</v>
      </c>
      <c r="G8" s="12">
        <f t="shared" si="4"/>
        <v>-7.2260652367840943E-3</v>
      </c>
      <c r="H8" s="3">
        <f t="shared" si="5"/>
        <v>2.1440265145603831E-2</v>
      </c>
      <c r="I8" s="3">
        <f t="shared" si="6"/>
        <v>-9.804023177562543E-3</v>
      </c>
      <c r="J8" s="3">
        <f t="shared" si="7"/>
        <v>6.1833830089472941E-3</v>
      </c>
      <c r="K8" s="14">
        <f t="shared" si="8"/>
        <v>-1.1787632652077063E-2</v>
      </c>
      <c r="L8" s="9">
        <v>0.5</v>
      </c>
      <c r="M8" s="2">
        <v>0.5</v>
      </c>
      <c r="N8" s="2">
        <v>0</v>
      </c>
      <c r="O8" s="2">
        <v>0</v>
      </c>
      <c r="P8" s="8">
        <v>0</v>
      </c>
      <c r="Q8" s="12">
        <f t="shared" si="0"/>
        <v>-6.5660267861341085E-4</v>
      </c>
      <c r="R8" s="3">
        <f t="shared" si="1"/>
        <v>4.378180395151265E-4</v>
      </c>
      <c r="S8" s="14">
        <f t="shared" si="3"/>
        <v>2.092410188072899E-2</v>
      </c>
      <c r="U8" s="16"/>
      <c r="V8" s="16" t="s">
        <v>21</v>
      </c>
      <c r="W8" s="16" t="s">
        <v>20</v>
      </c>
      <c r="X8" s="16" t="s">
        <v>22</v>
      </c>
      <c r="Y8" s="16" t="s">
        <v>23</v>
      </c>
      <c r="Z8" s="16" t="s">
        <v>24</v>
      </c>
    </row>
    <row r="9" spans="1:26" x14ac:dyDescent="0.35">
      <c r="A9" s="4">
        <v>43447</v>
      </c>
      <c r="B9" s="2">
        <v>51.209999000000003</v>
      </c>
      <c r="C9" s="2">
        <v>18.762699000000001</v>
      </c>
      <c r="D9" s="2">
        <v>37.502422000000003</v>
      </c>
      <c r="E9" s="2">
        <v>48.436962000000001</v>
      </c>
      <c r="F9" s="8">
        <v>875.25018299999999</v>
      </c>
      <c r="G9" s="12">
        <f t="shared" si="4"/>
        <v>3.113786575566084E-2</v>
      </c>
      <c r="H9" s="3">
        <f t="shared" si="5"/>
        <v>1.9009996956108808E-2</v>
      </c>
      <c r="I9" s="3">
        <f t="shared" si="6"/>
        <v>-3.1160850554017303E-3</v>
      </c>
      <c r="J9" s="3">
        <f t="shared" si="7"/>
        <v>-5.7832985429416301E-3</v>
      </c>
      <c r="K9" s="14">
        <f t="shared" si="8"/>
        <v>9.4662165999320012E-3</v>
      </c>
      <c r="L9" s="9">
        <v>0.4</v>
      </c>
      <c r="M9" s="2">
        <v>0.6</v>
      </c>
      <c r="N9" s="2">
        <v>0</v>
      </c>
      <c r="O9" s="2">
        <v>0</v>
      </c>
      <c r="P9" s="8">
        <v>0</v>
      </c>
      <c r="Q9" s="12">
        <f t="shared" si="0"/>
        <v>-5.5634648986399202E-4</v>
      </c>
      <c r="R9" s="3">
        <f t="shared" si="1"/>
        <v>3.8440159179532936E-4</v>
      </c>
      <c r="S9" s="14">
        <f t="shared" si="3"/>
        <v>1.9606162087347164E-2</v>
      </c>
      <c r="U9" s="17" t="s">
        <v>21</v>
      </c>
      <c r="V9" s="18">
        <f>VARP(BASE!$G$4:$G$504)</f>
        <v>1.0734199793310693E-3</v>
      </c>
      <c r="W9" s="17">
        <v>1.3071828850099541E-4</v>
      </c>
      <c r="X9" s="17">
        <v>3.7001159133090515E-5</v>
      </c>
      <c r="Y9" s="17">
        <v>7.315707951999209E-5</v>
      </c>
      <c r="Z9" s="17">
        <v>-1.9753462839381891E-5</v>
      </c>
    </row>
    <row r="10" spans="1:26" x14ac:dyDescent="0.35">
      <c r="A10" s="4">
        <v>43448</v>
      </c>
      <c r="B10" s="2">
        <v>49.240001999999997</v>
      </c>
      <c r="C10" s="2">
        <v>18.73481</v>
      </c>
      <c r="D10" s="2">
        <v>37.824286999999998</v>
      </c>
      <c r="E10" s="2">
        <v>46.916038999999998</v>
      </c>
      <c r="F10" s="8">
        <v>874.863159</v>
      </c>
      <c r="G10" s="12">
        <f t="shared" si="4"/>
        <v>-3.9228464013386685E-2</v>
      </c>
      <c r="H10" s="3">
        <f t="shared" si="5"/>
        <v>-1.4875124180907093E-3</v>
      </c>
      <c r="I10" s="3">
        <f t="shared" si="6"/>
        <v>8.5458919724006339E-3</v>
      </c>
      <c r="J10" s="3">
        <f t="shared" si="7"/>
        <v>-3.190360002328102E-2</v>
      </c>
      <c r="K10" s="14">
        <f t="shared" si="8"/>
        <v>-4.4228450469008745E-4</v>
      </c>
      <c r="L10" s="9">
        <v>0.3</v>
      </c>
      <c r="M10" s="2">
        <v>0.7</v>
      </c>
      <c r="N10" s="2">
        <v>0</v>
      </c>
      <c r="O10" s="2">
        <v>0</v>
      </c>
      <c r="P10" s="8">
        <v>0</v>
      </c>
      <c r="Q10" s="12">
        <f t="shared" si="0"/>
        <v>-4.5609030111457314E-4</v>
      </c>
      <c r="R10" s="3">
        <f t="shared" si="1"/>
        <v>3.5555312415666275E-4</v>
      </c>
      <c r="S10" s="14">
        <f t="shared" si="3"/>
        <v>1.8856116359331866E-2</v>
      </c>
      <c r="U10" s="17" t="s">
        <v>20</v>
      </c>
      <c r="V10" s="17">
        <v>1.3071828850099541E-4</v>
      </c>
      <c r="W10" s="18">
        <f>VARP(BASE!$H$4:$H$504)</f>
        <v>4.1641560172744587E-4</v>
      </c>
      <c r="X10" s="17">
        <v>1.0801387449999675E-4</v>
      </c>
      <c r="Y10" s="17">
        <v>7.7245089564551112E-5</v>
      </c>
      <c r="Z10" s="17">
        <v>1.1450704422860683E-5</v>
      </c>
    </row>
    <row r="11" spans="1:26" x14ac:dyDescent="0.35">
      <c r="A11" s="4">
        <v>43451</v>
      </c>
      <c r="B11" s="2">
        <v>48.5</v>
      </c>
      <c r="C11" s="2">
        <v>18.632536000000002</v>
      </c>
      <c r="D11" s="2">
        <v>36.839184000000003</v>
      </c>
      <c r="E11" s="2">
        <v>45.743873999999998</v>
      </c>
      <c r="F11" s="8">
        <v>873.99987799999997</v>
      </c>
      <c r="G11" s="12">
        <f t="shared" si="4"/>
        <v>-1.5142543990198615E-2</v>
      </c>
      <c r="H11" s="3">
        <f t="shared" si="5"/>
        <v>-5.4739908680138394E-3</v>
      </c>
      <c r="I11" s="3">
        <f t="shared" si="6"/>
        <v>-2.6389348225142308E-2</v>
      </c>
      <c r="J11" s="3">
        <f t="shared" si="7"/>
        <v>-2.5301718815265231E-2</v>
      </c>
      <c r="K11" s="14">
        <f t="shared" si="8"/>
        <v>-9.8724834575724188E-4</v>
      </c>
      <c r="L11" s="9">
        <v>0.2</v>
      </c>
      <c r="M11" s="2">
        <v>0.8</v>
      </c>
      <c r="N11" s="2">
        <v>0</v>
      </c>
      <c r="O11" s="2">
        <v>0</v>
      </c>
      <c r="P11" s="8">
        <v>0</v>
      </c>
      <c r="Q11" s="12">
        <f t="shared" si="0"/>
        <v>-3.5583411236515437E-4</v>
      </c>
      <c r="R11" s="3">
        <f t="shared" si="1"/>
        <v>3.5127263659912673E-4</v>
      </c>
      <c r="S11" s="14">
        <f t="shared" si="3"/>
        <v>1.8742268715369725E-2</v>
      </c>
      <c r="U11" s="17" t="s">
        <v>22</v>
      </c>
      <c r="V11" s="17">
        <v>3.7001159133090515E-5</v>
      </c>
      <c r="W11" s="17">
        <v>1.0801387449999675E-4</v>
      </c>
      <c r="X11" s="18">
        <f>VARP(BASE!$I$4:$I$504)</f>
        <v>5.095388457695884E-4</v>
      </c>
      <c r="Y11" s="17">
        <v>9.291809155195053E-5</v>
      </c>
      <c r="Z11" s="17">
        <v>1.205379026425601E-5</v>
      </c>
    </row>
    <row r="12" spans="1:26" x14ac:dyDescent="0.35">
      <c r="A12" s="4">
        <v>43452</v>
      </c>
      <c r="B12" s="2">
        <v>49.610000999999997</v>
      </c>
      <c r="C12" s="2">
        <v>18.437283999999998</v>
      </c>
      <c r="D12" s="2">
        <v>37.531685000000003</v>
      </c>
      <c r="E12" s="2">
        <v>45.956992999999997</v>
      </c>
      <c r="F12" s="8">
        <v>875.55773899999997</v>
      </c>
      <c r="G12" s="12">
        <f t="shared" si="4"/>
        <v>2.2628648526746079E-2</v>
      </c>
      <c r="H12" s="3">
        <f t="shared" si="5"/>
        <v>-1.0534381102544409E-2</v>
      </c>
      <c r="I12" s="3">
        <f t="shared" si="6"/>
        <v>1.8623448249810399E-2</v>
      </c>
      <c r="J12" s="3">
        <f t="shared" si="7"/>
        <v>4.6481432658002052E-3</v>
      </c>
      <c r="K12" s="14">
        <f t="shared" si="8"/>
        <v>1.7808632268968708E-3</v>
      </c>
      <c r="L12" s="9">
        <v>0.1</v>
      </c>
      <c r="M12" s="2">
        <v>0.9</v>
      </c>
      <c r="N12" s="2">
        <v>0</v>
      </c>
      <c r="O12" s="2">
        <v>0</v>
      </c>
      <c r="P12" s="8">
        <v>0</v>
      </c>
      <c r="Q12" s="12">
        <f t="shared" si="0"/>
        <v>-2.5557792361573559E-4</v>
      </c>
      <c r="R12" s="3">
        <f t="shared" si="1"/>
        <v>3.7156012912272103E-4</v>
      </c>
      <c r="S12" s="14">
        <f t="shared" si="3"/>
        <v>1.9275895027798865E-2</v>
      </c>
      <c r="U12" s="17" t="s">
        <v>23</v>
      </c>
      <c r="V12" s="17">
        <v>7.315707951999209E-5</v>
      </c>
      <c r="W12" s="17">
        <v>7.7245089564551112E-5</v>
      </c>
      <c r="X12" s="17">
        <v>9.291809155195053E-5</v>
      </c>
      <c r="Y12" s="18">
        <f>VARP(BASE!$J$4:$J$504)</f>
        <v>2.6179155291657281E-4</v>
      </c>
      <c r="Z12" s="17">
        <v>2.9718873669150344E-6</v>
      </c>
    </row>
    <row r="13" spans="1:26" x14ac:dyDescent="0.35">
      <c r="A13" s="4">
        <v>43453</v>
      </c>
      <c r="B13" s="2">
        <v>50.02</v>
      </c>
      <c r="C13" s="2">
        <v>18.604641000000001</v>
      </c>
      <c r="D13" s="2">
        <v>37.824286999999998</v>
      </c>
      <c r="E13" s="2">
        <v>46.809483</v>
      </c>
      <c r="F13" s="8">
        <v>875.52801499999998</v>
      </c>
      <c r="G13" s="12">
        <f t="shared" si="4"/>
        <v>8.2304789792894736E-3</v>
      </c>
      <c r="H13" s="3">
        <f t="shared" si="5"/>
        <v>9.0361469470387062E-3</v>
      </c>
      <c r="I13" s="3">
        <f t="shared" si="6"/>
        <v>7.7658999753319365E-3</v>
      </c>
      <c r="J13" s="3">
        <f t="shared" si="7"/>
        <v>1.8379786220045866E-2</v>
      </c>
      <c r="K13" s="14">
        <f t="shared" si="8"/>
        <v>-3.3949222572240474E-5</v>
      </c>
      <c r="L13" s="9">
        <v>0</v>
      </c>
      <c r="M13" s="2">
        <v>1</v>
      </c>
      <c r="N13" s="2">
        <v>0</v>
      </c>
      <c r="O13" s="2">
        <v>0</v>
      </c>
      <c r="P13" s="8">
        <v>0</v>
      </c>
      <c r="Q13" s="12">
        <f t="shared" si="0"/>
        <v>-1.5532173486631676E-4</v>
      </c>
      <c r="R13" s="3">
        <f t="shared" si="1"/>
        <v>4.1641560172744587E-4</v>
      </c>
      <c r="S13" s="14">
        <f t="shared" si="3"/>
        <v>2.0406263786579008E-2</v>
      </c>
      <c r="U13" s="17" t="s">
        <v>24</v>
      </c>
      <c r="V13" s="17">
        <v>-1.9753462839381891E-5</v>
      </c>
      <c r="W13" s="17">
        <v>1.1450704422860683E-5</v>
      </c>
      <c r="X13" s="17">
        <v>1.205379026425601E-5</v>
      </c>
      <c r="Y13" s="17">
        <v>2.9718873669150344E-6</v>
      </c>
      <c r="Z13" s="18">
        <f>VARP(BASE!$K$4:$K$504)</f>
        <v>1.0763597177766647E-4</v>
      </c>
    </row>
    <row r="14" spans="1:26" x14ac:dyDescent="0.35">
      <c r="A14" s="4">
        <v>43454</v>
      </c>
      <c r="B14" s="2">
        <v>50.639999000000003</v>
      </c>
      <c r="C14" s="2">
        <v>19.311266</v>
      </c>
      <c r="D14" s="2">
        <v>38.945945999999999</v>
      </c>
      <c r="E14" s="2">
        <v>48.165717999999998</v>
      </c>
      <c r="F14" s="8">
        <v>884.905396</v>
      </c>
      <c r="G14" s="12">
        <f t="shared" si="4"/>
        <v>1.2318832639212112E-2</v>
      </c>
      <c r="H14" s="3">
        <f t="shared" si="5"/>
        <v>3.7277590452154584E-2</v>
      </c>
      <c r="I14" s="3">
        <f t="shared" si="6"/>
        <v>2.9223275213419105E-2</v>
      </c>
      <c r="J14" s="3">
        <f t="shared" si="7"/>
        <v>2.8561712586280742E-2</v>
      </c>
      <c r="K14" s="14">
        <f t="shared" si="8"/>
        <v>1.0653592047128497E-2</v>
      </c>
      <c r="L14" s="9">
        <v>0.9</v>
      </c>
      <c r="M14" s="2">
        <v>0</v>
      </c>
      <c r="N14" s="2">
        <v>0.1</v>
      </c>
      <c r="O14" s="2">
        <v>0</v>
      </c>
      <c r="P14" s="8">
        <v>0</v>
      </c>
      <c r="Q14" s="12">
        <f t="shared" si="0"/>
        <v>-1.0131337004285164E-3</v>
      </c>
      <c r="R14" s="3">
        <f t="shared" si="1"/>
        <v>8.8122578035981834E-4</v>
      </c>
      <c r="S14" s="14">
        <f t="shared" si="3"/>
        <v>2.9685447282461794E-2</v>
      </c>
    </row>
    <row r="15" spans="1:26" x14ac:dyDescent="0.35">
      <c r="A15" s="4">
        <v>43455</v>
      </c>
      <c r="B15" s="2">
        <v>49.900002000000001</v>
      </c>
      <c r="C15" s="2">
        <v>19.869125</v>
      </c>
      <c r="D15" s="2">
        <v>37.687739999999998</v>
      </c>
      <c r="E15" s="2">
        <v>48.136654</v>
      </c>
      <c r="F15" s="8">
        <v>929.33123799999998</v>
      </c>
      <c r="G15" s="12">
        <f t="shared" si="4"/>
        <v>-1.4720715251052671E-2</v>
      </c>
      <c r="H15" s="3">
        <f t="shared" si="5"/>
        <v>2.8478363182200768E-2</v>
      </c>
      <c r="I15" s="3">
        <f t="shared" si="6"/>
        <v>-3.283984211689113E-2</v>
      </c>
      <c r="J15" s="3">
        <f t="shared" si="7"/>
        <v>-6.0359885803041398E-4</v>
      </c>
      <c r="K15" s="14">
        <f t="shared" si="8"/>
        <v>4.8984486428044288E-2</v>
      </c>
      <c r="L15" s="9">
        <v>0.8</v>
      </c>
      <c r="M15" s="2">
        <v>0.1</v>
      </c>
      <c r="N15" s="2">
        <v>0.1</v>
      </c>
      <c r="O15" s="2">
        <v>0</v>
      </c>
      <c r="P15" s="8">
        <v>0</v>
      </c>
      <c r="Q15" s="12">
        <f t="shared" si="0"/>
        <v>-9.1287751167909773E-4</v>
      </c>
      <c r="R15" s="3">
        <f t="shared" si="1"/>
        <v>7.2524372035830847E-4</v>
      </c>
      <c r="S15" s="14">
        <f t="shared" si="3"/>
        <v>2.6930349428819309E-2</v>
      </c>
    </row>
    <row r="16" spans="1:26" x14ac:dyDescent="0.35">
      <c r="A16" s="4">
        <v>43458</v>
      </c>
      <c r="B16" s="2">
        <v>49.799999</v>
      </c>
      <c r="C16" s="2">
        <v>19.478624</v>
      </c>
      <c r="D16" s="2">
        <v>38.009608999999998</v>
      </c>
      <c r="E16" s="2">
        <v>48.107590000000002</v>
      </c>
      <c r="F16" s="8">
        <v>949.23706100000004</v>
      </c>
      <c r="G16" s="12">
        <f t="shared" si="4"/>
        <v>-2.0060788873467843E-3</v>
      </c>
      <c r="H16" s="3">
        <f t="shared" si="5"/>
        <v>-1.9849360189368583E-2</v>
      </c>
      <c r="I16" s="3">
        <f t="shared" si="6"/>
        <v>8.5041535552763982E-3</v>
      </c>
      <c r="J16" s="3">
        <f t="shared" si="7"/>
        <v>-6.0396340966582882E-4</v>
      </c>
      <c r="K16" s="14">
        <f t="shared" si="8"/>
        <v>2.119333971096252E-2</v>
      </c>
      <c r="L16" s="9">
        <v>0.7</v>
      </c>
      <c r="M16" s="2">
        <v>0.2</v>
      </c>
      <c r="N16" s="2">
        <v>0.1</v>
      </c>
      <c r="O16" s="2">
        <v>0</v>
      </c>
      <c r="P16" s="8">
        <v>0</v>
      </c>
      <c r="Q16" s="12">
        <f t="shared" si="0"/>
        <v>-8.1262132292967879E-4</v>
      </c>
      <c r="R16" s="3">
        <f t="shared" si="1"/>
        <v>5.9382964043792885E-4</v>
      </c>
      <c r="S16" s="14">
        <f t="shared" si="3"/>
        <v>2.4368619994532496E-2</v>
      </c>
    </row>
    <row r="17" spans="1:19" x14ac:dyDescent="0.35">
      <c r="A17" s="4">
        <v>43460</v>
      </c>
      <c r="B17" s="2">
        <v>51.650002000000001</v>
      </c>
      <c r="C17" s="2">
        <v>19.608791</v>
      </c>
      <c r="D17" s="2">
        <v>37.902316999999996</v>
      </c>
      <c r="E17" s="2">
        <v>48.156025</v>
      </c>
      <c r="F17" s="8">
        <v>940.27642800000001</v>
      </c>
      <c r="G17" s="12">
        <f t="shared" si="4"/>
        <v>3.6475270337529564E-2</v>
      </c>
      <c r="H17" s="3">
        <f t="shared" si="5"/>
        <v>6.6603269202203151E-3</v>
      </c>
      <c r="I17" s="3">
        <f t="shared" si="6"/>
        <v>-2.8267513972247186E-3</v>
      </c>
      <c r="J17" s="3">
        <f t="shared" si="7"/>
        <v>1.0062992977618705E-3</v>
      </c>
      <c r="K17" s="14">
        <f t="shared" si="8"/>
        <v>-9.4846638842053643E-3</v>
      </c>
      <c r="L17" s="9">
        <v>0.6</v>
      </c>
      <c r="M17" s="2">
        <v>0.3</v>
      </c>
      <c r="N17" s="2">
        <v>0.1</v>
      </c>
      <c r="O17" s="2">
        <v>0</v>
      </c>
      <c r="P17" s="8">
        <v>0</v>
      </c>
      <c r="Q17" s="12">
        <f t="shared" si="0"/>
        <v>-7.1236513418025996E-4</v>
      </c>
      <c r="R17" s="3">
        <f t="shared" si="1"/>
        <v>4.8698354059867994E-4</v>
      </c>
      <c r="S17" s="14">
        <f t="shared" si="3"/>
        <v>2.206770356422888E-2</v>
      </c>
    </row>
    <row r="18" spans="1:19" x14ac:dyDescent="0.35">
      <c r="A18" s="4">
        <v>43461</v>
      </c>
      <c r="B18" s="2">
        <v>51.209999000000003</v>
      </c>
      <c r="C18" s="2">
        <v>19.218287</v>
      </c>
      <c r="D18" s="2">
        <v>38.263199</v>
      </c>
      <c r="E18" s="2">
        <v>47.913840999999998</v>
      </c>
      <c r="F18" s="8">
        <v>949.91180399999996</v>
      </c>
      <c r="G18" s="12">
        <f t="shared" si="4"/>
        <v>-8.5554283407924623E-3</v>
      </c>
      <c r="H18" s="3">
        <f t="shared" si="5"/>
        <v>-2.0115712429736202E-2</v>
      </c>
      <c r="I18" s="3">
        <f t="shared" si="6"/>
        <v>9.4763278599731115E-3</v>
      </c>
      <c r="J18" s="3">
        <f t="shared" si="7"/>
        <v>-5.0418413830106276E-3</v>
      </c>
      <c r="K18" s="14">
        <f t="shared" si="8"/>
        <v>1.0195238016466022E-2</v>
      </c>
      <c r="L18" s="9">
        <v>0.5</v>
      </c>
      <c r="M18" s="2">
        <v>0.4</v>
      </c>
      <c r="N18" s="2">
        <v>0.1</v>
      </c>
      <c r="O18" s="2">
        <v>0</v>
      </c>
      <c r="P18" s="8">
        <v>0</v>
      </c>
      <c r="Q18" s="12">
        <f t="shared" si="0"/>
        <v>-6.1210894543084124E-4</v>
      </c>
      <c r="R18" s="3">
        <f t="shared" si="1"/>
        <v>4.0470542084056156E-4</v>
      </c>
      <c r="S18" s="14">
        <f t="shared" si="3"/>
        <v>2.0117291588098076E-2</v>
      </c>
    </row>
    <row r="19" spans="1:19" x14ac:dyDescent="0.35">
      <c r="A19" s="4">
        <v>43462</v>
      </c>
      <c r="B19" s="2">
        <v>51.700001</v>
      </c>
      <c r="C19" s="2">
        <v>19.385649000000001</v>
      </c>
      <c r="D19" s="2">
        <v>37.873058</v>
      </c>
      <c r="E19" s="2">
        <v>47.855716999999999</v>
      </c>
      <c r="F19" s="8">
        <v>944.57318099999998</v>
      </c>
      <c r="G19" s="12">
        <f t="shared" si="4"/>
        <v>9.5229949097203597E-3</v>
      </c>
      <c r="H19" s="3">
        <f t="shared" si="5"/>
        <v>8.6707763972345506E-3</v>
      </c>
      <c r="I19" s="3">
        <f t="shared" si="6"/>
        <v>-1.024858405676839E-2</v>
      </c>
      <c r="J19" s="3">
        <f t="shared" si="7"/>
        <v>-1.2138305396916158E-3</v>
      </c>
      <c r="K19" s="14">
        <f t="shared" si="8"/>
        <v>-5.6359772431071875E-3</v>
      </c>
      <c r="L19" s="9">
        <v>0.4</v>
      </c>
      <c r="M19" s="2">
        <v>0.5</v>
      </c>
      <c r="N19" s="2">
        <v>0.1</v>
      </c>
      <c r="O19" s="2">
        <v>0</v>
      </c>
      <c r="P19" s="8">
        <v>0</v>
      </c>
      <c r="Q19" s="12">
        <f t="shared" si="0"/>
        <v>-5.1185275668142241E-4</v>
      </c>
      <c r="R19" s="3">
        <f t="shared" si="1"/>
        <v>3.4699528116357355E-4</v>
      </c>
      <c r="S19" s="14">
        <f t="shared" si="3"/>
        <v>1.8627809349560501E-2</v>
      </c>
    </row>
    <row r="20" spans="1:19" x14ac:dyDescent="0.35">
      <c r="A20" s="4">
        <v>43465</v>
      </c>
      <c r="B20" s="2">
        <v>51.150002000000001</v>
      </c>
      <c r="C20" s="2">
        <v>19.608791</v>
      </c>
      <c r="D20" s="2">
        <v>38.185172999999999</v>
      </c>
      <c r="E20" s="2">
        <v>48.407902</v>
      </c>
      <c r="F20" s="8">
        <v>944.61285399999997</v>
      </c>
      <c r="G20" s="12">
        <f t="shared" si="4"/>
        <v>-1.0695269358424062E-2</v>
      </c>
      <c r="H20" s="3">
        <f t="shared" si="5"/>
        <v>1.1444936032501565E-2</v>
      </c>
      <c r="I20" s="3">
        <f t="shared" si="6"/>
        <v>8.2073103173296077E-3</v>
      </c>
      <c r="J20" s="3">
        <f t="shared" si="7"/>
        <v>1.1472476563152468E-2</v>
      </c>
      <c r="K20" s="14">
        <f t="shared" si="8"/>
        <v>4.2000098741743505E-5</v>
      </c>
      <c r="L20" s="9">
        <v>0.3</v>
      </c>
      <c r="M20" s="2">
        <v>0.6</v>
      </c>
      <c r="N20" s="2">
        <v>0.1</v>
      </c>
      <c r="O20" s="2">
        <v>0</v>
      </c>
      <c r="P20" s="8">
        <v>0</v>
      </c>
      <c r="Q20" s="12">
        <f t="shared" si="0"/>
        <v>-4.1159656793200353E-4</v>
      </c>
      <c r="R20" s="3">
        <f t="shared" si="1"/>
        <v>3.1385312156771602E-4</v>
      </c>
      <c r="S20" s="14">
        <f t="shared" si="3"/>
        <v>1.7715900247171072E-2</v>
      </c>
    </row>
    <row r="21" spans="1:19" x14ac:dyDescent="0.35">
      <c r="A21" s="4">
        <v>43467</v>
      </c>
      <c r="B21" s="2">
        <v>51.299999</v>
      </c>
      <c r="C21" s="2">
        <v>19.822638000000001</v>
      </c>
      <c r="D21" s="2">
        <v>38.350979000000002</v>
      </c>
      <c r="E21" s="2">
        <v>48.165717999999998</v>
      </c>
      <c r="F21" s="8">
        <v>949.26678500000003</v>
      </c>
      <c r="G21" s="12">
        <f t="shared" si="4"/>
        <v>2.9282011852271614E-3</v>
      </c>
      <c r="H21" s="3">
        <f t="shared" si="5"/>
        <v>1.0846631836610393E-2</v>
      </c>
      <c r="I21" s="3">
        <f t="shared" si="6"/>
        <v>4.3327566138039652E-3</v>
      </c>
      <c r="J21" s="3">
        <f t="shared" si="7"/>
        <v>-5.0155416705158513E-3</v>
      </c>
      <c r="K21" s="14">
        <f t="shared" si="8"/>
        <v>4.9147160906271763E-3</v>
      </c>
      <c r="L21" s="9">
        <v>0.2</v>
      </c>
      <c r="M21" s="2">
        <v>0.7</v>
      </c>
      <c r="N21" s="2">
        <v>0.1</v>
      </c>
      <c r="O21" s="2">
        <v>0</v>
      </c>
      <c r="P21" s="8">
        <v>0</v>
      </c>
      <c r="Q21" s="12">
        <f t="shared" si="0"/>
        <v>-3.1134037918258476E-4</v>
      </c>
      <c r="R21" s="3">
        <f t="shared" si="1"/>
        <v>3.0527894205298903E-4</v>
      </c>
      <c r="S21" s="14">
        <f t="shared" si="3"/>
        <v>1.7472233459205753E-2</v>
      </c>
    </row>
    <row r="22" spans="1:19" x14ac:dyDescent="0.35">
      <c r="A22" s="4">
        <v>43468</v>
      </c>
      <c r="B22" s="2">
        <v>52.25</v>
      </c>
      <c r="C22" s="2">
        <v>20.129459000000001</v>
      </c>
      <c r="D22" s="2">
        <v>38.350979000000002</v>
      </c>
      <c r="E22" s="2">
        <v>47.226039999999998</v>
      </c>
      <c r="F22" s="8">
        <v>944.41436799999997</v>
      </c>
      <c r="G22" s="12">
        <f t="shared" si="4"/>
        <v>1.8349158161374189E-2</v>
      </c>
      <c r="H22" s="3">
        <f t="shared" si="5"/>
        <v>1.5359746054037287E-2</v>
      </c>
      <c r="I22" s="3">
        <f t="shared" si="6"/>
        <v>0</v>
      </c>
      <c r="J22" s="3">
        <f t="shared" si="7"/>
        <v>-1.9702087809614448E-2</v>
      </c>
      <c r="K22" s="14">
        <f t="shared" si="8"/>
        <v>-5.124862348361044E-3</v>
      </c>
      <c r="L22" s="9">
        <v>0.1</v>
      </c>
      <c r="M22" s="2">
        <v>0.8</v>
      </c>
      <c r="N22" s="2">
        <v>0.1</v>
      </c>
      <c r="O22" s="2">
        <v>0</v>
      </c>
      <c r="P22" s="8">
        <v>0</v>
      </c>
      <c r="Q22" s="12">
        <f t="shared" si="0"/>
        <v>-2.1108419043316595E-4</v>
      </c>
      <c r="R22" s="3">
        <f t="shared" si="1"/>
        <v>3.2127274261939257E-4</v>
      </c>
      <c r="S22" s="14">
        <f t="shared" si="3"/>
        <v>1.7924082755315335E-2</v>
      </c>
    </row>
    <row r="23" spans="1:19" x14ac:dyDescent="0.35">
      <c r="A23" s="4">
        <v>43469</v>
      </c>
      <c r="B23" s="2">
        <v>52.68</v>
      </c>
      <c r="C23" s="2">
        <v>20.361902000000001</v>
      </c>
      <c r="D23" s="2">
        <v>38.419254000000002</v>
      </c>
      <c r="E23" s="2">
        <v>48.107590000000002</v>
      </c>
      <c r="F23" s="8">
        <v>958.00903300000004</v>
      </c>
      <c r="G23" s="12">
        <f t="shared" si="4"/>
        <v>8.1959860301599359E-3</v>
      </c>
      <c r="H23" s="3">
        <f t="shared" si="5"/>
        <v>1.1481241806601513E-2</v>
      </c>
      <c r="I23" s="3">
        <f t="shared" si="6"/>
        <v>1.7786846628495682E-3</v>
      </c>
      <c r="J23" s="3">
        <f t="shared" si="7"/>
        <v>1.8494525541918209E-2</v>
      </c>
      <c r="K23" s="14">
        <f t="shared" si="8"/>
        <v>1.4292187957150575E-2</v>
      </c>
      <c r="L23" s="9">
        <v>0</v>
      </c>
      <c r="M23" s="2">
        <v>0.9</v>
      </c>
      <c r="N23" s="2">
        <v>0.1</v>
      </c>
      <c r="O23" s="2">
        <v>0</v>
      </c>
      <c r="P23" s="8">
        <v>0</v>
      </c>
      <c r="Q23" s="12">
        <f t="shared" si="0"/>
        <v>-1.1082800168374715E-4</v>
      </c>
      <c r="R23" s="3">
        <f t="shared" si="1"/>
        <v>3.6183452326692648E-4</v>
      </c>
      <c r="S23" s="14">
        <f t="shared" si="3"/>
        <v>1.9021948461367632E-2</v>
      </c>
    </row>
    <row r="24" spans="1:19" x14ac:dyDescent="0.35">
      <c r="A24" s="4">
        <v>43472</v>
      </c>
      <c r="B24" s="2">
        <v>54.259998000000003</v>
      </c>
      <c r="C24" s="2">
        <v>20.334009000000002</v>
      </c>
      <c r="D24" s="2">
        <v>38.146155999999998</v>
      </c>
      <c r="E24" s="2">
        <v>48.281962999999998</v>
      </c>
      <c r="F24" s="8">
        <v>994.62542699999995</v>
      </c>
      <c r="G24" s="12">
        <f t="shared" si="4"/>
        <v>2.9551393496139798E-2</v>
      </c>
      <c r="H24" s="3">
        <f t="shared" si="5"/>
        <v>-1.3708013253617419E-3</v>
      </c>
      <c r="I24" s="3">
        <f t="shared" si="6"/>
        <v>-7.1337476850245113E-3</v>
      </c>
      <c r="J24" s="3">
        <f t="shared" si="7"/>
        <v>3.6180931396273025E-3</v>
      </c>
      <c r="K24" s="14">
        <f t="shared" si="8"/>
        <v>3.7509004059937845E-2</v>
      </c>
      <c r="L24" s="9">
        <v>0.8</v>
      </c>
      <c r="M24" s="2">
        <v>0</v>
      </c>
      <c r="N24" s="2">
        <v>0.2</v>
      </c>
      <c r="O24" s="2">
        <v>0</v>
      </c>
      <c r="P24" s="8">
        <v>0</v>
      </c>
      <c r="Q24" s="12">
        <f t="shared" si="0"/>
        <v>-8.6838377849652801E-4</v>
      </c>
      <c r="R24" s="3">
        <f t="shared" si="1"/>
        <v>7.1921071152525687E-4</v>
      </c>
      <c r="S24" s="14">
        <f t="shared" si="3"/>
        <v>2.6818104174703643E-2</v>
      </c>
    </row>
    <row r="25" spans="1:19" x14ac:dyDescent="0.35">
      <c r="A25" s="4">
        <v>43473</v>
      </c>
      <c r="B25" s="2">
        <v>53.880001</v>
      </c>
      <c r="C25" s="2">
        <v>20.185247</v>
      </c>
      <c r="D25" s="2">
        <v>38.292461000000003</v>
      </c>
      <c r="E25" s="2">
        <v>48.940708000000001</v>
      </c>
      <c r="F25" s="8">
        <v>1017.15094</v>
      </c>
      <c r="G25" s="12">
        <f t="shared" si="4"/>
        <v>-7.0279002692944575E-3</v>
      </c>
      <c r="H25" s="3">
        <f t="shared" si="5"/>
        <v>-7.3428134217634698E-3</v>
      </c>
      <c r="I25" s="3">
        <f t="shared" si="6"/>
        <v>3.8280435833040571E-3</v>
      </c>
      <c r="J25" s="3">
        <f t="shared" si="7"/>
        <v>1.3551470543175775E-2</v>
      </c>
      <c r="K25" s="14">
        <f t="shared" si="8"/>
        <v>2.2394590943212726E-2</v>
      </c>
      <c r="L25" s="9">
        <v>0.7</v>
      </c>
      <c r="M25" s="2">
        <v>0.1</v>
      </c>
      <c r="N25" s="2">
        <v>0.2</v>
      </c>
      <c r="O25" s="2">
        <v>0</v>
      </c>
      <c r="P25" s="8">
        <v>0</v>
      </c>
      <c r="Q25" s="12">
        <f t="shared" si="0"/>
        <v>-7.6812758974710918E-4</v>
      </c>
      <c r="R25" s="3">
        <f t="shared" si="1"/>
        <v>5.8350293964768644E-4</v>
      </c>
      <c r="S25" s="14">
        <f t="shared" si="3"/>
        <v>2.4155805506082519E-2</v>
      </c>
    </row>
    <row r="26" spans="1:19" x14ac:dyDescent="0.35">
      <c r="A26" s="4">
        <v>43474</v>
      </c>
      <c r="B26" s="2">
        <v>54.150002000000001</v>
      </c>
      <c r="C26" s="2">
        <v>20.399094000000002</v>
      </c>
      <c r="D26" s="2">
        <v>38.419254000000002</v>
      </c>
      <c r="E26" s="2">
        <v>48.320712999999998</v>
      </c>
      <c r="F26" s="8">
        <v>995.21093800000006</v>
      </c>
      <c r="G26" s="12">
        <f t="shared" si="4"/>
        <v>4.9986402795149038E-3</v>
      </c>
      <c r="H26" s="3">
        <f t="shared" si="5"/>
        <v>1.053849705968635E-2</v>
      </c>
      <c r="I26" s="3">
        <f t="shared" si="6"/>
        <v>3.3057041017203895E-3</v>
      </c>
      <c r="J26" s="3">
        <f t="shared" si="7"/>
        <v>-1.2749215291399184E-2</v>
      </c>
      <c r="K26" s="14">
        <f t="shared" si="8"/>
        <v>-2.1806089268203228E-2</v>
      </c>
      <c r="L26" s="9">
        <v>0.6</v>
      </c>
      <c r="M26" s="2">
        <v>0.2</v>
      </c>
      <c r="N26" s="2">
        <v>0.2</v>
      </c>
      <c r="O26" s="2">
        <v>0</v>
      </c>
      <c r="P26" s="8">
        <v>0</v>
      </c>
      <c r="Q26" s="12">
        <f t="shared" si="0"/>
        <v>-6.6787140099769024E-4</v>
      </c>
      <c r="R26" s="3">
        <f t="shared" si="1"/>
        <v>4.7236314785124666E-4</v>
      </c>
      <c r="S26" s="14">
        <f t="shared" si="3"/>
        <v>2.1733916992830508E-2</v>
      </c>
    </row>
    <row r="27" spans="1:19" x14ac:dyDescent="0.35">
      <c r="A27" s="4">
        <v>43475</v>
      </c>
      <c r="B27" s="2">
        <v>54.169998</v>
      </c>
      <c r="C27" s="2">
        <v>20.334009000000002</v>
      </c>
      <c r="D27" s="2">
        <v>38.633834999999998</v>
      </c>
      <c r="E27" s="2">
        <v>47.390723999999999</v>
      </c>
      <c r="F27" s="8">
        <v>979.89953600000001</v>
      </c>
      <c r="G27" s="12">
        <f t="shared" si="4"/>
        <v>3.6920236756164969E-4</v>
      </c>
      <c r="H27" s="3">
        <f t="shared" si="5"/>
        <v>-3.1956836379228365E-3</v>
      </c>
      <c r="I27" s="3">
        <f t="shared" si="6"/>
        <v>5.5697067438995633E-3</v>
      </c>
      <c r="J27" s="3">
        <f t="shared" si="7"/>
        <v>-1.9433795964897062E-2</v>
      </c>
      <c r="K27" s="14">
        <f t="shared" si="8"/>
        <v>-1.5504660556189303E-2</v>
      </c>
      <c r="L27" s="9">
        <v>0.5</v>
      </c>
      <c r="M27" s="2">
        <v>0.3</v>
      </c>
      <c r="N27" s="2">
        <v>0.2</v>
      </c>
      <c r="O27" s="2">
        <v>0</v>
      </c>
      <c r="P27" s="8">
        <v>0</v>
      </c>
      <c r="Q27" s="12">
        <f t="shared" si="0"/>
        <v>-5.6761521224827152E-4</v>
      </c>
      <c r="R27" s="3">
        <f t="shared" si="1"/>
        <v>3.857913361359373E-4</v>
      </c>
      <c r="S27" s="14">
        <f t="shared" si="3"/>
        <v>1.9641571631005939E-2</v>
      </c>
    </row>
    <row r="28" spans="1:19" x14ac:dyDescent="0.35">
      <c r="A28" s="4">
        <v>43476</v>
      </c>
      <c r="B28" s="2">
        <v>54.669998</v>
      </c>
      <c r="C28" s="2">
        <v>20.473475000000001</v>
      </c>
      <c r="D28" s="2">
        <v>37.638973</v>
      </c>
      <c r="E28" s="2">
        <v>46.606045000000002</v>
      </c>
      <c r="F28" s="8">
        <v>985.18853799999999</v>
      </c>
      <c r="G28" s="12">
        <f t="shared" si="4"/>
        <v>9.1878635747700624E-3</v>
      </c>
      <c r="H28" s="3">
        <f t="shared" si="5"/>
        <v>6.8353414294885558E-3</v>
      </c>
      <c r="I28" s="3">
        <f t="shared" si="6"/>
        <v>-2.6088417383929235E-2</v>
      </c>
      <c r="J28" s="3">
        <f t="shared" si="7"/>
        <v>-1.6696259598900816E-2</v>
      </c>
      <c r="K28" s="14">
        <f t="shared" si="8"/>
        <v>5.3829798687983488E-3</v>
      </c>
      <c r="L28" s="9">
        <v>0.4</v>
      </c>
      <c r="M28" s="2">
        <v>0.4</v>
      </c>
      <c r="N28" s="2">
        <v>0.2</v>
      </c>
      <c r="O28" s="2">
        <v>0</v>
      </c>
      <c r="P28" s="8">
        <v>0</v>
      </c>
      <c r="Q28" s="12">
        <f t="shared" si="0"/>
        <v>-4.6735902349885286E-4</v>
      </c>
      <c r="R28" s="3">
        <f t="shared" si="1"/>
        <v>3.2378750450175853E-4</v>
      </c>
      <c r="S28" s="14">
        <f t="shared" si="3"/>
        <v>1.7994096379139426E-2</v>
      </c>
    </row>
    <row r="29" spans="1:19" x14ac:dyDescent="0.35">
      <c r="A29" s="4">
        <v>43479</v>
      </c>
      <c r="B29" s="2">
        <v>54.970001000000003</v>
      </c>
      <c r="C29" s="2">
        <v>20.510666000000001</v>
      </c>
      <c r="D29" s="2">
        <v>37.024498000000001</v>
      </c>
      <c r="E29" s="2">
        <v>47.875092000000002</v>
      </c>
      <c r="F29" s="8">
        <v>985.30761700000005</v>
      </c>
      <c r="G29" s="12">
        <f t="shared" si="4"/>
        <v>5.4725237405378194E-3</v>
      </c>
      <c r="H29" s="3">
        <f t="shared" si="5"/>
        <v>1.8148976311825105E-3</v>
      </c>
      <c r="I29" s="3">
        <f t="shared" si="6"/>
        <v>-1.6460227886076803E-2</v>
      </c>
      <c r="J29" s="3">
        <f t="shared" si="7"/>
        <v>2.68651154213841E-2</v>
      </c>
      <c r="K29" s="14">
        <f t="shared" si="8"/>
        <v>1.208619462085732E-4</v>
      </c>
      <c r="L29" s="9">
        <v>0.3</v>
      </c>
      <c r="M29" s="2">
        <v>0.5</v>
      </c>
      <c r="N29" s="2">
        <v>0.2</v>
      </c>
      <c r="O29" s="2">
        <v>0</v>
      </c>
      <c r="P29" s="8">
        <v>0</v>
      </c>
      <c r="Q29" s="12">
        <f t="shared" si="0"/>
        <v>-3.6710283474943392E-4</v>
      </c>
      <c r="R29" s="3">
        <f t="shared" si="1"/>
        <v>2.8635165294871008E-4</v>
      </c>
      <c r="S29" s="14">
        <f t="shared" si="3"/>
        <v>1.6921928168761091E-2</v>
      </c>
    </row>
    <row r="30" spans="1:19" x14ac:dyDescent="0.35">
      <c r="A30" s="4">
        <v>43480</v>
      </c>
      <c r="B30" s="2">
        <v>55.619999</v>
      </c>
      <c r="C30" s="2">
        <v>21.273074999999999</v>
      </c>
      <c r="D30" s="2">
        <v>37.726753000000002</v>
      </c>
      <c r="E30" s="2">
        <v>48.204464000000002</v>
      </c>
      <c r="F30" s="8">
        <v>1050.9194339999999</v>
      </c>
      <c r="G30" s="12">
        <f t="shared" si="4"/>
        <v>1.1755230762364496E-2</v>
      </c>
      <c r="H30" s="3">
        <f t="shared" si="5"/>
        <v>3.649714505759856E-2</v>
      </c>
      <c r="I30" s="3">
        <f t="shared" si="6"/>
        <v>1.8789669778360378E-2</v>
      </c>
      <c r="J30" s="3">
        <f t="shared" si="7"/>
        <v>6.8562617060347946E-3</v>
      </c>
      <c r="K30" s="14">
        <f t="shared" si="8"/>
        <v>6.4466817482126015E-2</v>
      </c>
      <c r="L30" s="9">
        <v>0.2</v>
      </c>
      <c r="M30" s="2">
        <v>0.6</v>
      </c>
      <c r="N30" s="2">
        <v>0.2</v>
      </c>
      <c r="O30" s="2">
        <v>0</v>
      </c>
      <c r="P30" s="8">
        <v>0</v>
      </c>
      <c r="Q30" s="12">
        <f t="shared" si="0"/>
        <v>-2.668466460000152E-4</v>
      </c>
      <c r="R30" s="3">
        <f t="shared" si="1"/>
        <v>2.7348378147679217E-4</v>
      </c>
      <c r="S30" s="14">
        <f t="shared" si="3"/>
        <v>1.6537345055261807E-2</v>
      </c>
    </row>
    <row r="31" spans="1:19" x14ac:dyDescent="0.35">
      <c r="A31" s="4">
        <v>43481</v>
      </c>
      <c r="B31" s="2">
        <v>55.689999</v>
      </c>
      <c r="C31" s="2">
        <v>21.812338</v>
      </c>
      <c r="D31" s="2">
        <v>37.931579999999997</v>
      </c>
      <c r="E31" s="2">
        <v>47.768535999999997</v>
      </c>
      <c r="F31" s="8">
        <v>1060.227173</v>
      </c>
      <c r="G31" s="12">
        <f t="shared" si="4"/>
        <v>1.2577488183573824E-3</v>
      </c>
      <c r="H31" s="3">
        <f t="shared" si="5"/>
        <v>2.5033584421388741E-2</v>
      </c>
      <c r="I31" s="3">
        <f t="shared" si="6"/>
        <v>5.4145390809274907E-3</v>
      </c>
      <c r="J31" s="3">
        <f t="shared" si="7"/>
        <v>-9.0844507932577711E-3</v>
      </c>
      <c r="K31" s="14">
        <f t="shared" si="8"/>
        <v>8.8177668739713843E-3</v>
      </c>
      <c r="L31" s="9">
        <v>0.1</v>
      </c>
      <c r="M31" s="2">
        <v>0.7</v>
      </c>
      <c r="N31" s="2">
        <v>0.2</v>
      </c>
      <c r="O31" s="2">
        <v>0</v>
      </c>
      <c r="P31" s="8">
        <v>0</v>
      </c>
      <c r="Q31" s="12">
        <f t="shared" si="0"/>
        <v>-1.6659045725059632E-4</v>
      </c>
      <c r="R31" s="3">
        <f t="shared" si="1"/>
        <v>2.8518389008600474E-4</v>
      </c>
      <c r="S31" s="14">
        <f t="shared" si="3"/>
        <v>1.6887388492185663E-2</v>
      </c>
    </row>
    <row r="32" spans="1:19" x14ac:dyDescent="0.35">
      <c r="A32" s="4">
        <v>43482</v>
      </c>
      <c r="B32" s="2">
        <v>53.32</v>
      </c>
      <c r="C32" s="2">
        <v>21.524108999999999</v>
      </c>
      <c r="D32" s="2">
        <v>37.502422000000003</v>
      </c>
      <c r="E32" s="2">
        <v>47.952598999999999</v>
      </c>
      <c r="F32" s="8">
        <v>1054.0550539999999</v>
      </c>
      <c r="G32" s="12">
        <f t="shared" si="4"/>
        <v>-4.3489084334524017E-2</v>
      </c>
      <c r="H32" s="3">
        <f t="shared" si="5"/>
        <v>-1.3302117272141237E-2</v>
      </c>
      <c r="I32" s="3">
        <f t="shared" si="6"/>
        <v>-1.1378492957349391E-2</v>
      </c>
      <c r="J32" s="3">
        <f t="shared" si="7"/>
        <v>3.845822071853178E-3</v>
      </c>
      <c r="K32" s="14">
        <f t="shared" si="8"/>
        <v>-5.8385171612835582E-3</v>
      </c>
      <c r="L32" s="9">
        <v>0</v>
      </c>
      <c r="M32" s="2">
        <v>0.8</v>
      </c>
      <c r="N32" s="2">
        <v>0.2</v>
      </c>
      <c r="O32" s="2">
        <v>0</v>
      </c>
      <c r="P32" s="8">
        <v>0</v>
      </c>
      <c r="Q32" s="12">
        <f t="shared" si="0"/>
        <v>-6.6334268501177528E-5</v>
      </c>
      <c r="R32" s="3">
        <f t="shared" si="1"/>
        <v>3.2145197877634794E-4</v>
      </c>
      <c r="S32" s="14">
        <f t="shared" si="3"/>
        <v>1.7929081927872046E-2</v>
      </c>
    </row>
    <row r="33" spans="1:19" x14ac:dyDescent="0.35">
      <c r="A33" s="4">
        <v>43483</v>
      </c>
      <c r="B33" s="2">
        <v>51.849997999999999</v>
      </c>
      <c r="C33" s="2">
        <v>21.700769000000001</v>
      </c>
      <c r="D33" s="2">
        <v>37.356116999999998</v>
      </c>
      <c r="E33" s="2">
        <v>47.826656</v>
      </c>
      <c r="F33" s="8">
        <v>1047.5950929999999</v>
      </c>
      <c r="G33" s="12">
        <f t="shared" si="4"/>
        <v>-2.7956599207778491E-2</v>
      </c>
      <c r="H33" s="3">
        <f t="shared" si="5"/>
        <v>8.1740419777012879E-3</v>
      </c>
      <c r="I33" s="3">
        <f t="shared" si="6"/>
        <v>-3.9088442878526765E-3</v>
      </c>
      <c r="J33" s="3">
        <f t="shared" si="7"/>
        <v>-2.6298611862646628E-3</v>
      </c>
      <c r="K33" s="14">
        <f t="shared" si="8"/>
        <v>-6.1475325508989201E-3</v>
      </c>
      <c r="L33" s="9">
        <v>0.7</v>
      </c>
      <c r="M33" s="2">
        <v>0</v>
      </c>
      <c r="N33" s="2">
        <v>0.3</v>
      </c>
      <c r="O33" s="2">
        <v>0</v>
      </c>
      <c r="P33" s="8">
        <v>0</v>
      </c>
      <c r="Q33" s="12">
        <f t="shared" si="0"/>
        <v>-7.2363385656453957E-4</v>
      </c>
      <c r="R33" s="3">
        <f t="shared" si="1"/>
        <v>5.8737477282738487E-4</v>
      </c>
      <c r="S33" s="14">
        <f t="shared" si="3"/>
        <v>2.4235815910082021E-2</v>
      </c>
    </row>
    <row r="34" spans="1:19" x14ac:dyDescent="0.35">
      <c r="A34" s="4">
        <v>43486</v>
      </c>
      <c r="B34" s="2">
        <v>51.369999</v>
      </c>
      <c r="C34" s="2">
        <v>21.598493999999999</v>
      </c>
      <c r="D34" s="2">
        <v>37.765770000000003</v>
      </c>
      <c r="E34" s="2">
        <v>46.964478</v>
      </c>
      <c r="F34" s="8">
        <v>1041.760254</v>
      </c>
      <c r="G34" s="12">
        <f t="shared" si="4"/>
        <v>-9.3005710901678581E-3</v>
      </c>
      <c r="H34" s="3">
        <f t="shared" si="5"/>
        <v>-4.7241076693388985E-3</v>
      </c>
      <c r="I34" s="3">
        <f t="shared" si="6"/>
        <v>1.0906463537308184E-2</v>
      </c>
      <c r="J34" s="3">
        <f t="shared" si="7"/>
        <v>-1.8191612243490252E-2</v>
      </c>
      <c r="K34" s="14">
        <f t="shared" si="8"/>
        <v>-5.5853152762006383E-3</v>
      </c>
      <c r="L34" s="9">
        <v>0.6</v>
      </c>
      <c r="M34" s="2">
        <v>0.1</v>
      </c>
      <c r="N34" s="2">
        <v>0.3</v>
      </c>
      <c r="O34" s="2">
        <v>0</v>
      </c>
      <c r="P34" s="8">
        <v>0</v>
      </c>
      <c r="Q34" s="12">
        <f t="shared" si="0"/>
        <v>-6.2337766781512074E-4</v>
      </c>
      <c r="R34" s="3">
        <f t="shared" si="1"/>
        <v>4.7194128907375416E-4</v>
      </c>
      <c r="S34" s="14">
        <f t="shared" si="3"/>
        <v>2.1724209745667487E-2</v>
      </c>
    </row>
    <row r="35" spans="1:19" x14ac:dyDescent="0.35">
      <c r="A35" s="4">
        <v>43487</v>
      </c>
      <c r="B35" s="2">
        <v>50.639999000000003</v>
      </c>
      <c r="C35" s="2">
        <v>22.295815999999999</v>
      </c>
      <c r="D35" s="2">
        <v>37.658478000000002</v>
      </c>
      <c r="E35" s="2">
        <v>47.041977000000003</v>
      </c>
      <c r="F35" s="8">
        <v>1066.1414789999999</v>
      </c>
      <c r="G35" s="12">
        <f t="shared" si="4"/>
        <v>-1.4312566923876328E-2</v>
      </c>
      <c r="H35" s="3">
        <f t="shared" si="5"/>
        <v>3.1775447507040783E-2</v>
      </c>
      <c r="I35" s="3">
        <f t="shared" si="6"/>
        <v>-2.8450286271365973E-3</v>
      </c>
      <c r="J35" s="3">
        <f t="shared" si="7"/>
        <v>1.6488020435845149E-3</v>
      </c>
      <c r="K35" s="14">
        <f t="shared" si="8"/>
        <v>2.3134202124853523E-2</v>
      </c>
      <c r="L35" s="9">
        <v>0.5</v>
      </c>
      <c r="M35" s="2">
        <v>0.2</v>
      </c>
      <c r="N35" s="2">
        <v>0.3</v>
      </c>
      <c r="O35" s="2">
        <v>0</v>
      </c>
      <c r="P35" s="8">
        <v>0</v>
      </c>
      <c r="Q35" s="12">
        <f t="shared" si="0"/>
        <v>-5.2312147906570202E-4</v>
      </c>
      <c r="R35" s="3">
        <f t="shared" si="1"/>
        <v>3.8107578540125394E-4</v>
      </c>
      <c r="S35" s="14">
        <f t="shared" si="3"/>
        <v>1.9521162501276761E-2</v>
      </c>
    </row>
    <row r="36" spans="1:19" x14ac:dyDescent="0.35">
      <c r="A36" s="4">
        <v>43488</v>
      </c>
      <c r="B36" s="2">
        <v>50.060001</v>
      </c>
      <c r="C36" s="2">
        <v>21.877424000000001</v>
      </c>
      <c r="D36" s="2">
        <v>36.965977000000002</v>
      </c>
      <c r="E36" s="2">
        <v>47.429473999999999</v>
      </c>
      <c r="F36" s="8">
        <v>1057.8358149999999</v>
      </c>
      <c r="G36" s="12">
        <f t="shared" si="4"/>
        <v>-1.1519452109028518E-2</v>
      </c>
      <c r="H36" s="3">
        <f t="shared" si="5"/>
        <v>-1.8943800011113912E-2</v>
      </c>
      <c r="I36" s="3">
        <f t="shared" si="6"/>
        <v>-1.8560159112793472E-2</v>
      </c>
      <c r="J36" s="3">
        <f t="shared" si="7"/>
        <v>8.2035190321449389E-3</v>
      </c>
      <c r="K36" s="14">
        <f t="shared" si="8"/>
        <v>-7.8208993656347769E-3</v>
      </c>
      <c r="L36" s="9">
        <v>0.4</v>
      </c>
      <c r="M36" s="2">
        <v>0.3</v>
      </c>
      <c r="N36" s="2">
        <v>0.3</v>
      </c>
      <c r="O36" s="2">
        <v>0</v>
      </c>
      <c r="P36" s="8">
        <v>0</v>
      </c>
      <c r="Q36" s="12">
        <f t="shared" si="0"/>
        <v>-4.2286529031628319E-4</v>
      </c>
      <c r="R36" s="3">
        <f t="shared" si="1"/>
        <v>3.147782618098842E-4</v>
      </c>
      <c r="S36" s="14">
        <f t="shared" si="3"/>
        <v>1.7741991483762026E-2</v>
      </c>
    </row>
    <row r="37" spans="1:19" x14ac:dyDescent="0.35">
      <c r="A37" s="4">
        <v>43489</v>
      </c>
      <c r="B37" s="2">
        <v>50.68</v>
      </c>
      <c r="C37" s="2">
        <v>21.756551999999999</v>
      </c>
      <c r="D37" s="2">
        <v>36.702629000000002</v>
      </c>
      <c r="E37" s="2">
        <v>46.770733</v>
      </c>
      <c r="F37" s="8">
        <v>1064.682861</v>
      </c>
      <c r="G37" s="12">
        <f t="shared" si="4"/>
        <v>1.2309049473281562E-2</v>
      </c>
      <c r="H37" s="3">
        <f t="shared" si="5"/>
        <v>-5.540283983187521E-3</v>
      </c>
      <c r="I37" s="3">
        <f t="shared" si="6"/>
        <v>-7.1495616946747748E-3</v>
      </c>
      <c r="J37" s="3">
        <f t="shared" si="7"/>
        <v>-1.3986205746005216E-2</v>
      </c>
      <c r="K37" s="14">
        <f t="shared" si="8"/>
        <v>6.4518346328482495E-3</v>
      </c>
      <c r="L37" s="9">
        <v>0.3</v>
      </c>
      <c r="M37" s="2">
        <v>0.4</v>
      </c>
      <c r="N37" s="2">
        <v>0.3</v>
      </c>
      <c r="O37" s="2">
        <v>0</v>
      </c>
      <c r="P37" s="8">
        <v>0</v>
      </c>
      <c r="Q37" s="12">
        <f t="shared" si="0"/>
        <v>-3.2260910156686431E-4</v>
      </c>
      <c r="R37" s="3">
        <f t="shared" si="1"/>
        <v>2.7304871829964493E-4</v>
      </c>
      <c r="S37" s="14">
        <f t="shared" si="3"/>
        <v>1.652418585890527E-2</v>
      </c>
    </row>
    <row r="38" spans="1:19" x14ac:dyDescent="0.35">
      <c r="A38" s="4">
        <v>43490</v>
      </c>
      <c r="B38" s="2">
        <v>51.360000999999997</v>
      </c>
      <c r="C38" s="2">
        <v>21.961103000000001</v>
      </c>
      <c r="D38" s="2">
        <v>36.965977000000002</v>
      </c>
      <c r="E38" s="2">
        <v>46.266983000000003</v>
      </c>
      <c r="F38" s="8">
        <v>1057.1114500000001</v>
      </c>
      <c r="G38" s="12">
        <f t="shared" si="4"/>
        <v>1.3328323399172257E-2</v>
      </c>
      <c r="H38" s="3">
        <f t="shared" si="5"/>
        <v>9.3578895167357682E-3</v>
      </c>
      <c r="I38" s="3">
        <f t="shared" si="6"/>
        <v>7.1495616946747635E-3</v>
      </c>
      <c r="J38" s="3">
        <f t="shared" si="7"/>
        <v>-1.0829047497567792E-2</v>
      </c>
      <c r="K38" s="14">
        <f t="shared" si="8"/>
        <v>-7.1368304625893829E-3</v>
      </c>
      <c r="L38" s="9">
        <v>0.2</v>
      </c>
      <c r="M38" s="2">
        <v>0.5</v>
      </c>
      <c r="N38" s="2">
        <v>0.3</v>
      </c>
      <c r="O38" s="2">
        <v>0</v>
      </c>
      <c r="P38" s="8">
        <v>0</v>
      </c>
      <c r="Q38" s="12">
        <f t="shared" si="0"/>
        <v>-2.2235291281744553E-4</v>
      </c>
      <c r="R38" s="3">
        <f t="shared" si="1"/>
        <v>2.5588715487053615E-4</v>
      </c>
      <c r="S38" s="14">
        <f t="shared" si="3"/>
        <v>1.5996473201007031E-2</v>
      </c>
    </row>
    <row r="39" spans="1:19" x14ac:dyDescent="0.35">
      <c r="A39" s="4">
        <v>43493</v>
      </c>
      <c r="B39" s="2">
        <v>52.439999</v>
      </c>
      <c r="C39" s="2">
        <v>22.249327000000001</v>
      </c>
      <c r="D39" s="2">
        <v>36.468544000000001</v>
      </c>
      <c r="E39" s="2">
        <v>47.003234999999997</v>
      </c>
      <c r="F39" s="8">
        <v>1049.837769</v>
      </c>
      <c r="G39" s="12">
        <f t="shared" si="4"/>
        <v>2.0809960973975729E-2</v>
      </c>
      <c r="H39" s="3">
        <f t="shared" si="5"/>
        <v>1.3038917897117488E-2</v>
      </c>
      <c r="I39" s="3">
        <f t="shared" si="6"/>
        <v>-1.3547868267860643E-2</v>
      </c>
      <c r="J39" s="3">
        <f t="shared" si="7"/>
        <v>1.5787832571617852E-2</v>
      </c>
      <c r="K39" s="14">
        <f t="shared" si="8"/>
        <v>-6.9044947361078584E-3</v>
      </c>
      <c r="L39" s="9">
        <v>0.1</v>
      </c>
      <c r="M39" s="2">
        <v>0.6</v>
      </c>
      <c r="N39" s="2">
        <v>0.3</v>
      </c>
      <c r="O39" s="2">
        <v>0</v>
      </c>
      <c r="P39" s="8">
        <v>0</v>
      </c>
      <c r="Q39" s="12">
        <f t="shared" si="0"/>
        <v>-1.2209672406802671E-4</v>
      </c>
      <c r="R39" s="3">
        <f t="shared" si="1"/>
        <v>2.6329357152255785E-4</v>
      </c>
      <c r="S39" s="14">
        <f t="shared" si="3"/>
        <v>1.6226323413594278E-2</v>
      </c>
    </row>
    <row r="40" spans="1:19" x14ac:dyDescent="0.35">
      <c r="A40" s="4">
        <v>43494</v>
      </c>
      <c r="B40" s="2">
        <v>52.880001</v>
      </c>
      <c r="C40" s="2">
        <v>22.01689</v>
      </c>
      <c r="D40" s="2">
        <v>36.429530999999997</v>
      </c>
      <c r="E40" s="2">
        <v>48.475715999999998</v>
      </c>
      <c r="F40" s="8">
        <v>1039.0711670000001</v>
      </c>
      <c r="G40" s="12">
        <f t="shared" si="4"/>
        <v>8.355574628085824E-3</v>
      </c>
      <c r="H40" s="3">
        <f t="shared" si="5"/>
        <v>-1.050187488457466E-2</v>
      </c>
      <c r="I40" s="3">
        <f t="shared" si="6"/>
        <v>-1.0703438664070018E-3</v>
      </c>
      <c r="J40" s="3">
        <f t="shared" si="7"/>
        <v>3.0846542391259068E-2</v>
      </c>
      <c r="K40" s="14">
        <f t="shared" si="8"/>
        <v>-1.0308441077627149E-2</v>
      </c>
      <c r="L40" s="9">
        <v>0</v>
      </c>
      <c r="M40" s="2">
        <v>0.7</v>
      </c>
      <c r="N40" s="2">
        <v>0.3</v>
      </c>
      <c r="O40" s="2">
        <v>0</v>
      </c>
      <c r="P40" s="8">
        <v>0</v>
      </c>
      <c r="Q40" s="12">
        <f t="shared" si="0"/>
        <v>-2.1840535318607904E-5</v>
      </c>
      <c r="R40" s="3">
        <f t="shared" si="1"/>
        <v>2.9526796825571003E-4</v>
      </c>
      <c r="S40" s="14">
        <f t="shared" si="3"/>
        <v>1.7183363124129981E-2</v>
      </c>
    </row>
    <row r="41" spans="1:19" x14ac:dyDescent="0.35">
      <c r="A41" s="4">
        <v>43495</v>
      </c>
      <c r="B41" s="2">
        <v>52.439999</v>
      </c>
      <c r="C41" s="2">
        <v>22.193543999999999</v>
      </c>
      <c r="D41" s="2">
        <v>36.439284999999998</v>
      </c>
      <c r="E41" s="2">
        <v>48.301338000000001</v>
      </c>
      <c r="F41" s="8">
        <v>1032.720337</v>
      </c>
      <c r="G41" s="12">
        <f t="shared" si="4"/>
        <v>-8.3555746280857147E-3</v>
      </c>
      <c r="H41" s="3">
        <f t="shared" si="5"/>
        <v>7.9915496945513996E-3</v>
      </c>
      <c r="I41" s="3">
        <f t="shared" si="6"/>
        <v>2.6771397131687534E-4</v>
      </c>
      <c r="J41" s="3">
        <f t="shared" si="7"/>
        <v>-3.6037093816990912E-3</v>
      </c>
      <c r="K41" s="14">
        <f t="shared" si="8"/>
        <v>-6.1307809012974349E-3</v>
      </c>
      <c r="L41" s="9">
        <v>0.6</v>
      </c>
      <c r="M41" s="2">
        <v>0</v>
      </c>
      <c r="N41" s="2">
        <v>0.4</v>
      </c>
      <c r="O41" s="2">
        <v>0</v>
      </c>
      <c r="P41" s="8">
        <v>0</v>
      </c>
      <c r="Q41" s="12">
        <f t="shared" si="0"/>
        <v>-5.7888393463255113E-4</v>
      </c>
      <c r="R41" s="3">
        <f t="shared" si="1"/>
        <v>4.8571796426620251E-4</v>
      </c>
      <c r="S41" s="14">
        <f t="shared" si="3"/>
        <v>2.2039010056402318E-2</v>
      </c>
    </row>
    <row r="42" spans="1:19" x14ac:dyDescent="0.35">
      <c r="A42" s="4">
        <v>43496</v>
      </c>
      <c r="B42" s="2">
        <v>52.919998</v>
      </c>
      <c r="C42" s="2">
        <v>21.589193000000002</v>
      </c>
      <c r="D42" s="2">
        <v>36.878197</v>
      </c>
      <c r="E42" s="2">
        <v>48.630707000000001</v>
      </c>
      <c r="F42" s="8">
        <v>1028.69165</v>
      </c>
      <c r="G42" s="12">
        <f t="shared" si="4"/>
        <v>9.111661627773068E-3</v>
      </c>
      <c r="H42" s="3">
        <f t="shared" si="5"/>
        <v>-2.7608570361566935E-2</v>
      </c>
      <c r="I42" s="3">
        <f t="shared" si="6"/>
        <v>1.1973058303010433E-2</v>
      </c>
      <c r="J42" s="3">
        <f t="shared" si="7"/>
        <v>6.7959005226342732E-3</v>
      </c>
      <c r="K42" s="14">
        <f t="shared" si="8"/>
        <v>-3.9086724580056961E-3</v>
      </c>
      <c r="L42" s="9">
        <v>0.5</v>
      </c>
      <c r="M42" s="2">
        <v>0.1</v>
      </c>
      <c r="N42" s="2">
        <v>0.4</v>
      </c>
      <c r="O42" s="2">
        <v>0</v>
      </c>
      <c r="P42" s="8">
        <v>0</v>
      </c>
      <c r="Q42" s="12">
        <f t="shared" si="0"/>
        <v>-4.7862774588313241E-4</v>
      </c>
      <c r="R42" s="3">
        <f t="shared" si="1"/>
        <v>3.9055876863651148E-4</v>
      </c>
      <c r="S42" s="14">
        <f t="shared" si="3"/>
        <v>1.9762559769334324E-2</v>
      </c>
    </row>
    <row r="43" spans="1:19" x14ac:dyDescent="0.35">
      <c r="A43" s="4">
        <v>43497</v>
      </c>
      <c r="B43" s="2">
        <v>52.220001000000003</v>
      </c>
      <c r="C43" s="2">
        <v>21.319562999999999</v>
      </c>
      <c r="D43" s="2">
        <v>35.941853000000002</v>
      </c>
      <c r="E43" s="2">
        <v>48.068843999999999</v>
      </c>
      <c r="F43" s="8">
        <v>1021.993408</v>
      </c>
      <c r="G43" s="12">
        <f t="shared" si="4"/>
        <v>-1.3315719033125504E-2</v>
      </c>
      <c r="H43" s="3">
        <f t="shared" si="5"/>
        <v>-1.2567763510359894E-2</v>
      </c>
      <c r="I43" s="3">
        <f t="shared" si="6"/>
        <v>-2.5718071028174336E-2</v>
      </c>
      <c r="J43" s="3">
        <f t="shared" si="7"/>
        <v>-1.1620929307070539E-2</v>
      </c>
      <c r="K43" s="14">
        <f t="shared" si="8"/>
        <v>-6.5327104181150458E-3</v>
      </c>
      <c r="L43" s="9">
        <v>0.4</v>
      </c>
      <c r="M43" s="2">
        <v>0.2</v>
      </c>
      <c r="N43" s="2">
        <v>0.4</v>
      </c>
      <c r="O43" s="2">
        <v>0</v>
      </c>
      <c r="P43" s="8">
        <v>0</v>
      </c>
      <c r="Q43" s="12">
        <f t="shared" si="0"/>
        <v>-3.7837155713371358E-4</v>
      </c>
      <c r="R43" s="3">
        <f t="shared" si="1"/>
        <v>3.1996755308795081E-4</v>
      </c>
      <c r="S43" s="14">
        <f t="shared" si="3"/>
        <v>1.7887636878245006E-2</v>
      </c>
    </row>
    <row r="44" spans="1:19" x14ac:dyDescent="0.35">
      <c r="A44" s="4">
        <v>43501</v>
      </c>
      <c r="B44" s="2">
        <v>53.029998999999997</v>
      </c>
      <c r="C44" s="2">
        <v>21.049928999999999</v>
      </c>
      <c r="D44" s="2">
        <v>36.478301999999999</v>
      </c>
      <c r="E44" s="2">
        <v>48.795399000000003</v>
      </c>
      <c r="F44" s="8">
        <v>1022.8865970000001</v>
      </c>
      <c r="G44" s="12">
        <f t="shared" si="4"/>
        <v>1.5392189871053936E-2</v>
      </c>
      <c r="H44" s="3">
        <f t="shared" si="5"/>
        <v>-1.2727914700745612E-2</v>
      </c>
      <c r="I44" s="3">
        <f t="shared" si="6"/>
        <v>1.4815179891384417E-2</v>
      </c>
      <c r="J44" s="3">
        <f t="shared" si="7"/>
        <v>1.5001792273559654E-2</v>
      </c>
      <c r="K44" s="14">
        <f t="shared" si="8"/>
        <v>8.7358578950275903E-4</v>
      </c>
      <c r="L44" s="9">
        <v>0.3</v>
      </c>
      <c r="M44" s="2">
        <v>0.3</v>
      </c>
      <c r="N44" s="2">
        <v>0.4</v>
      </c>
      <c r="O44" s="2">
        <v>0</v>
      </c>
      <c r="P44" s="8">
        <v>0</v>
      </c>
      <c r="Q44" s="12">
        <f t="shared" si="0"/>
        <v>-2.7811536838429475E-4</v>
      </c>
      <c r="R44" s="3">
        <f t="shared" si="1"/>
        <v>2.7394431762052063E-4</v>
      </c>
      <c r="S44" s="14">
        <f t="shared" si="3"/>
        <v>1.6551263324004022E-2</v>
      </c>
    </row>
    <row r="45" spans="1:19" x14ac:dyDescent="0.35">
      <c r="A45" s="4">
        <v>43502</v>
      </c>
      <c r="B45" s="2">
        <v>52.59</v>
      </c>
      <c r="C45" s="2">
        <v>21.366046999999998</v>
      </c>
      <c r="D45" s="2">
        <v>36.010123999999998</v>
      </c>
      <c r="E45" s="2">
        <v>47.739468000000002</v>
      </c>
      <c r="F45" s="8">
        <v>1017.299866</v>
      </c>
      <c r="G45" s="12">
        <f t="shared" si="4"/>
        <v>-8.3317846905348724E-3</v>
      </c>
      <c r="H45" s="3">
        <f t="shared" si="5"/>
        <v>1.4905886076811961E-2</v>
      </c>
      <c r="I45" s="3">
        <f t="shared" si="6"/>
        <v>-1.2917496927422938E-2</v>
      </c>
      <c r="J45" s="3">
        <f t="shared" si="7"/>
        <v>-2.1877548473736935E-2</v>
      </c>
      <c r="K45" s="14">
        <f t="shared" si="8"/>
        <v>-5.4767003560322568E-3</v>
      </c>
      <c r="L45" s="9">
        <v>0.2</v>
      </c>
      <c r="M45" s="2">
        <v>0.4</v>
      </c>
      <c r="N45" s="2">
        <v>0.4</v>
      </c>
      <c r="O45" s="2">
        <v>0</v>
      </c>
      <c r="P45" s="8">
        <v>0</v>
      </c>
      <c r="Q45" s="12">
        <f t="shared" si="0"/>
        <v>-1.778591796348759E-4</v>
      </c>
      <c r="R45" s="3">
        <f t="shared" si="1"/>
        <v>2.5248906223422098E-4</v>
      </c>
      <c r="S45" s="14">
        <f t="shared" si="3"/>
        <v>1.588990441236891E-2</v>
      </c>
    </row>
    <row r="46" spans="1:19" x14ac:dyDescent="0.35">
      <c r="A46" s="4">
        <v>43503</v>
      </c>
      <c r="B46" s="2">
        <v>51.84</v>
      </c>
      <c r="C46" s="2">
        <v>21.124310999999999</v>
      </c>
      <c r="D46" s="2">
        <v>36.527068999999997</v>
      </c>
      <c r="E46" s="2">
        <v>48.039783</v>
      </c>
      <c r="F46" s="8">
        <v>1035.2010499999999</v>
      </c>
      <c r="G46" s="12">
        <f t="shared" si="4"/>
        <v>-1.4363935557233537E-2</v>
      </c>
      <c r="H46" s="3">
        <f t="shared" si="5"/>
        <v>-1.1378515951169971E-2</v>
      </c>
      <c r="I46" s="3">
        <f t="shared" si="6"/>
        <v>1.4253481022442276E-2</v>
      </c>
      <c r="J46" s="3">
        <f t="shared" si="7"/>
        <v>6.271002978893804E-3</v>
      </c>
      <c r="K46" s="14">
        <f t="shared" si="8"/>
        <v>1.744373196440489E-2</v>
      </c>
      <c r="L46" s="9">
        <v>0.1</v>
      </c>
      <c r="M46" s="2">
        <v>0.5</v>
      </c>
      <c r="N46" s="2">
        <v>0.4</v>
      </c>
      <c r="O46" s="2">
        <v>0</v>
      </c>
      <c r="P46" s="8">
        <v>0</v>
      </c>
      <c r="Q46" s="12">
        <f t="shared" si="0"/>
        <v>-7.7602990885457121E-5</v>
      </c>
      <c r="R46" s="3">
        <f t="shared" si="1"/>
        <v>2.5560178692905181E-4</v>
      </c>
      <c r="S46" s="14">
        <f t="shared" si="3"/>
        <v>1.5987550998481658E-2</v>
      </c>
    </row>
    <row r="47" spans="1:19" x14ac:dyDescent="0.35">
      <c r="A47" s="4">
        <v>43504</v>
      </c>
      <c r="B47" s="2">
        <v>51.41</v>
      </c>
      <c r="C47" s="2">
        <v>20.975549999999998</v>
      </c>
      <c r="D47" s="2">
        <v>35.932098000000003</v>
      </c>
      <c r="E47" s="2">
        <v>47.855716999999999</v>
      </c>
      <c r="F47" s="8">
        <v>1047.2974850000001</v>
      </c>
      <c r="G47" s="12">
        <f t="shared" si="4"/>
        <v>-8.3293459766061295E-3</v>
      </c>
      <c r="H47" s="3">
        <f t="shared" si="5"/>
        <v>-7.0670836247505768E-3</v>
      </c>
      <c r="I47" s="3">
        <f t="shared" si="6"/>
        <v>-1.6422611428047712E-2</v>
      </c>
      <c r="J47" s="3">
        <f t="shared" si="7"/>
        <v>-3.8388918364203163E-3</v>
      </c>
      <c r="K47" s="14">
        <f t="shared" si="8"/>
        <v>1.1617363320183087E-2</v>
      </c>
      <c r="L47" s="9">
        <v>0</v>
      </c>
      <c r="M47" s="2">
        <v>0.6</v>
      </c>
      <c r="N47" s="2">
        <v>0.4</v>
      </c>
      <c r="O47" s="2">
        <v>0</v>
      </c>
      <c r="P47" s="8">
        <v>0</v>
      </c>
      <c r="Q47" s="12">
        <f t="shared" si="0"/>
        <v>2.2653197863961707E-5</v>
      </c>
      <c r="R47" s="3">
        <f t="shared" si="1"/>
        <v>2.8328249170501312E-4</v>
      </c>
      <c r="S47" s="14">
        <f t="shared" si="3"/>
        <v>1.6830997941447594E-2</v>
      </c>
    </row>
    <row r="48" spans="1:19" x14ac:dyDescent="0.35">
      <c r="A48" s="4">
        <v>43507</v>
      </c>
      <c r="B48" s="2">
        <v>51.98</v>
      </c>
      <c r="C48" s="2">
        <v>20.808187</v>
      </c>
      <c r="D48" s="2">
        <v>36.527068999999997</v>
      </c>
      <c r="E48" s="2">
        <v>48.049469000000002</v>
      </c>
      <c r="F48" s="8">
        <v>1041.472534</v>
      </c>
      <c r="G48" s="12">
        <f t="shared" si="4"/>
        <v>1.1026323145930919E-2</v>
      </c>
      <c r="H48" s="3">
        <f t="shared" si="5"/>
        <v>-8.010958667905424E-3</v>
      </c>
      <c r="I48" s="3">
        <f t="shared" si="6"/>
        <v>1.6422611428047761E-2</v>
      </c>
      <c r="J48" s="3">
        <f t="shared" si="7"/>
        <v>4.0404960706339182E-3</v>
      </c>
      <c r="K48" s="14">
        <f t="shared" si="8"/>
        <v>-5.5774125892213405E-3</v>
      </c>
      <c r="L48" s="9">
        <v>0.5</v>
      </c>
      <c r="M48" s="2">
        <v>0</v>
      </c>
      <c r="N48" s="2">
        <v>0.5</v>
      </c>
      <c r="O48" s="2">
        <v>0</v>
      </c>
      <c r="P48" s="8">
        <v>0</v>
      </c>
      <c r="Q48" s="12">
        <f t="shared" si="0"/>
        <v>-4.3413401270056274E-4</v>
      </c>
      <c r="R48" s="3">
        <f t="shared" si="1"/>
        <v>4.142402858417097E-4</v>
      </c>
      <c r="S48" s="14">
        <f t="shared" si="3"/>
        <v>2.0352893795274166E-2</v>
      </c>
    </row>
    <row r="49" spans="1:19" x14ac:dyDescent="0.35">
      <c r="A49" s="4">
        <v>43508</v>
      </c>
      <c r="B49" s="2">
        <v>52.189999</v>
      </c>
      <c r="C49" s="2">
        <v>19.971397</v>
      </c>
      <c r="D49" s="2">
        <v>36.29298</v>
      </c>
      <c r="E49" s="2">
        <v>47.022606000000003</v>
      </c>
      <c r="F49" s="8">
        <v>1032.6210940000001</v>
      </c>
      <c r="G49" s="12">
        <f t="shared" si="4"/>
        <v>4.0318572812186974E-3</v>
      </c>
      <c r="H49" s="3">
        <f t="shared" si="5"/>
        <v>-4.1045415120682521E-2</v>
      </c>
      <c r="I49" s="3">
        <f t="shared" si="6"/>
        <v>-6.4292680261178034E-3</v>
      </c>
      <c r="J49" s="3">
        <f t="shared" si="7"/>
        <v>-2.1602619566412039E-2</v>
      </c>
      <c r="K49" s="14">
        <f t="shared" si="8"/>
        <v>-8.5352884912287454E-3</v>
      </c>
      <c r="L49" s="9">
        <v>0.4</v>
      </c>
      <c r="M49" s="2">
        <v>0.1</v>
      </c>
      <c r="N49" s="2">
        <v>0.5</v>
      </c>
      <c r="O49" s="2">
        <v>0</v>
      </c>
      <c r="P49" s="8">
        <v>0</v>
      </c>
      <c r="Q49" s="12">
        <f t="shared" si="0"/>
        <v>-3.3387782395114391E-4</v>
      </c>
      <c r="R49" s="3">
        <f t="shared" si="1"/>
        <v>3.3935537833595816E-4</v>
      </c>
      <c r="S49" s="14">
        <f t="shared" si="3"/>
        <v>1.8421600862464645E-2</v>
      </c>
    </row>
    <row r="50" spans="1:19" x14ac:dyDescent="0.35">
      <c r="A50" s="4">
        <v>43509</v>
      </c>
      <c r="B50" s="2">
        <v>51.880001</v>
      </c>
      <c r="C50" s="2">
        <v>19.776150000000001</v>
      </c>
      <c r="D50" s="2">
        <v>35.580970999999998</v>
      </c>
      <c r="E50" s="2">
        <v>46.974170999999998</v>
      </c>
      <c r="F50" s="8">
        <v>1011.32605</v>
      </c>
      <c r="G50" s="12">
        <f t="shared" si="4"/>
        <v>-5.9575077710693931E-3</v>
      </c>
      <c r="H50" s="3">
        <f t="shared" si="5"/>
        <v>-9.824433715419259E-3</v>
      </c>
      <c r="I50" s="3">
        <f t="shared" si="6"/>
        <v>-1.9813361661088606E-2</v>
      </c>
      <c r="J50" s="3">
        <f t="shared" si="7"/>
        <v>-1.0305673414053318E-3</v>
      </c>
      <c r="K50" s="14">
        <f t="shared" si="8"/>
        <v>-2.0837930782082573E-2</v>
      </c>
      <c r="L50" s="9">
        <v>0.3</v>
      </c>
      <c r="M50" s="2">
        <v>0.2</v>
      </c>
      <c r="N50" s="2">
        <v>0.5</v>
      </c>
      <c r="O50" s="2">
        <v>0</v>
      </c>
      <c r="P50" s="8">
        <v>0</v>
      </c>
      <c r="Q50" s="12">
        <f t="shared" si="0"/>
        <v>-2.3362163520172509E-4</v>
      </c>
      <c r="R50" s="3">
        <f t="shared" si="1"/>
        <v>2.8903845091133711E-4</v>
      </c>
      <c r="S50" s="14">
        <f t="shared" si="3"/>
        <v>1.7001130871543136E-2</v>
      </c>
    </row>
    <row r="51" spans="1:19" x14ac:dyDescent="0.35">
      <c r="A51" s="4">
        <v>43510</v>
      </c>
      <c r="B51" s="2">
        <v>52.080002</v>
      </c>
      <c r="C51" s="2">
        <v>20.213139000000002</v>
      </c>
      <c r="D51" s="2">
        <v>35.454169999999998</v>
      </c>
      <c r="E51" s="2">
        <v>49.861015000000002</v>
      </c>
      <c r="F51" s="8">
        <v>1010.889404</v>
      </c>
      <c r="G51" s="12">
        <f t="shared" si="4"/>
        <v>3.8476575792772707E-3</v>
      </c>
      <c r="H51" s="3">
        <f t="shared" si="5"/>
        <v>2.1856172305724782E-2</v>
      </c>
      <c r="I51" s="3">
        <f t="shared" si="6"/>
        <v>-3.5700959523507834E-3</v>
      </c>
      <c r="J51" s="3">
        <f t="shared" si="7"/>
        <v>5.964153742894189E-2</v>
      </c>
      <c r="K51" s="14">
        <f t="shared" si="8"/>
        <v>-4.3184914438501647E-4</v>
      </c>
      <c r="L51" s="9">
        <v>0.2</v>
      </c>
      <c r="M51" s="2">
        <v>0.3</v>
      </c>
      <c r="N51" s="2">
        <v>0.5</v>
      </c>
      <c r="O51" s="2">
        <v>0</v>
      </c>
      <c r="P51" s="8">
        <v>0</v>
      </c>
      <c r="Q51" s="12">
        <f t="shared" si="0"/>
        <v>-1.3336544645230631E-4</v>
      </c>
      <c r="R51" s="3">
        <f t="shared" si="1"/>
        <v>2.6328950356784659E-4</v>
      </c>
      <c r="S51" s="14">
        <f t="shared" si="3"/>
        <v>1.6226198062634593E-2</v>
      </c>
    </row>
    <row r="52" spans="1:19" x14ac:dyDescent="0.35">
      <c r="A52" s="4">
        <v>43511</v>
      </c>
      <c r="B52" s="2">
        <v>52.470001000000003</v>
      </c>
      <c r="C52" s="2">
        <v>20.324711000000001</v>
      </c>
      <c r="D52" s="2">
        <v>35.737029999999997</v>
      </c>
      <c r="E52" s="2">
        <v>50.839435999999999</v>
      </c>
      <c r="F52" s="8">
        <v>1021.646118</v>
      </c>
      <c r="G52" s="12">
        <f t="shared" si="4"/>
        <v>7.4605604543590354E-3</v>
      </c>
      <c r="H52" s="3">
        <f t="shared" si="5"/>
        <v>5.5045978868991478E-3</v>
      </c>
      <c r="I52" s="3">
        <f t="shared" si="6"/>
        <v>7.9465295847325618E-3</v>
      </c>
      <c r="J52" s="3">
        <f t="shared" si="7"/>
        <v>1.9432917744843483E-2</v>
      </c>
      <c r="K52" s="14">
        <f t="shared" si="8"/>
        <v>1.0584626256354942E-2</v>
      </c>
      <c r="L52" s="9">
        <v>0.1</v>
      </c>
      <c r="M52" s="2">
        <v>0.4</v>
      </c>
      <c r="N52" s="2">
        <v>0.5</v>
      </c>
      <c r="O52" s="2">
        <v>0</v>
      </c>
      <c r="P52" s="8">
        <v>0</v>
      </c>
      <c r="Q52" s="12">
        <f t="shared" si="0"/>
        <v>-3.3109257702887483E-5</v>
      </c>
      <c r="R52" s="3">
        <f t="shared" si="1"/>
        <v>2.6210853630548656E-4</v>
      </c>
      <c r="S52" s="14">
        <f t="shared" si="3"/>
        <v>1.6189766406760987E-2</v>
      </c>
    </row>
    <row r="53" spans="1:19" x14ac:dyDescent="0.35">
      <c r="A53" s="4">
        <v>43514</v>
      </c>
      <c r="B53" s="2">
        <v>52.049999</v>
      </c>
      <c r="C53" s="2">
        <v>20.150362000000001</v>
      </c>
      <c r="D53" s="2">
        <v>35.639496000000001</v>
      </c>
      <c r="E53" s="2">
        <v>50.713496999999997</v>
      </c>
      <c r="F53" s="8">
        <v>1014.2236329999999</v>
      </c>
      <c r="G53" s="12">
        <f t="shared" si="4"/>
        <v>-8.036820908448105E-3</v>
      </c>
      <c r="H53" s="3">
        <f t="shared" si="5"/>
        <v>-8.6151828987302351E-3</v>
      </c>
      <c r="I53" s="3">
        <f t="shared" si="6"/>
        <v>-2.7329450219160554E-3</v>
      </c>
      <c r="J53" s="3">
        <f t="shared" si="7"/>
        <v>-2.4802644461622519E-3</v>
      </c>
      <c r="K53" s="14">
        <f t="shared" si="8"/>
        <v>-7.2917414130302142E-3</v>
      </c>
      <c r="L53" s="9">
        <v>0</v>
      </c>
      <c r="M53" s="2">
        <v>0.5</v>
      </c>
      <c r="N53" s="2">
        <v>0.5</v>
      </c>
      <c r="O53" s="2">
        <v>0</v>
      </c>
      <c r="P53" s="8">
        <v>0</v>
      </c>
      <c r="Q53" s="12">
        <f t="shared" si="0"/>
        <v>6.7146931046531318E-5</v>
      </c>
      <c r="R53" s="3">
        <f t="shared" si="1"/>
        <v>2.8549554912425695E-4</v>
      </c>
      <c r="S53" s="14">
        <f t="shared" si="3"/>
        <v>1.6896613540122677E-2</v>
      </c>
    </row>
    <row r="54" spans="1:19" x14ac:dyDescent="0.35">
      <c r="A54" s="4">
        <v>43515</v>
      </c>
      <c r="B54" s="2">
        <v>51.709999000000003</v>
      </c>
      <c r="C54" s="2">
        <v>19.635365</v>
      </c>
      <c r="D54" s="2">
        <v>35.385899000000002</v>
      </c>
      <c r="E54" s="2">
        <v>51.062247999999997</v>
      </c>
      <c r="F54" s="8">
        <v>1004.350098</v>
      </c>
      <c r="G54" s="12">
        <f t="shared" si="4"/>
        <v>-6.5536087791710808E-3</v>
      </c>
      <c r="H54" s="3">
        <f t="shared" si="5"/>
        <v>-2.5889976380786255E-2</v>
      </c>
      <c r="I54" s="3">
        <f t="shared" si="6"/>
        <v>-7.1410536378771891E-3</v>
      </c>
      <c r="J54" s="3">
        <f t="shared" si="7"/>
        <v>6.8533492930338124E-3</v>
      </c>
      <c r="K54" s="14">
        <f t="shared" si="8"/>
        <v>-9.7827625433673272E-3</v>
      </c>
      <c r="L54" s="9">
        <v>0.4</v>
      </c>
      <c r="M54" s="2">
        <v>0</v>
      </c>
      <c r="N54" s="2">
        <v>0.6</v>
      </c>
      <c r="O54" s="2">
        <v>0</v>
      </c>
      <c r="P54" s="8">
        <v>0</v>
      </c>
      <c r="Q54" s="12">
        <f t="shared" si="0"/>
        <v>-2.8938409076857436E-4</v>
      </c>
      <c r="R54" s="3">
        <f t="shared" si="1"/>
        <v>3.7294173755390636E-4</v>
      </c>
      <c r="S54" s="14">
        <f t="shared" si="3"/>
        <v>1.9311699499368416E-2</v>
      </c>
    </row>
    <row r="55" spans="1:19" x14ac:dyDescent="0.35">
      <c r="A55" s="4">
        <v>43516</v>
      </c>
      <c r="B55" s="2">
        <v>52.009998000000003</v>
      </c>
      <c r="C55" s="2">
        <v>19.307642000000001</v>
      </c>
      <c r="D55" s="2">
        <v>34.995761999999999</v>
      </c>
      <c r="E55" s="2">
        <v>51.042870000000001</v>
      </c>
      <c r="F55" s="8">
        <v>997.274902</v>
      </c>
      <c r="G55" s="12">
        <f t="shared" si="4"/>
        <v>5.7848022613261572E-3</v>
      </c>
      <c r="H55" s="3">
        <f t="shared" si="5"/>
        <v>-1.683130102191488E-2</v>
      </c>
      <c r="I55" s="3">
        <f t="shared" si="6"/>
        <v>-1.1086439006938172E-2</v>
      </c>
      <c r="J55" s="3">
        <f t="shared" si="7"/>
        <v>-3.7956961633693652E-4</v>
      </c>
      <c r="K55" s="14">
        <f t="shared" si="8"/>
        <v>-7.0694815130041251E-3</v>
      </c>
      <c r="L55" s="9">
        <v>0.3</v>
      </c>
      <c r="M55" s="2">
        <v>0.1</v>
      </c>
      <c r="N55" s="2">
        <v>0.6</v>
      </c>
      <c r="O55" s="2">
        <v>0</v>
      </c>
      <c r="P55" s="8">
        <v>0</v>
      </c>
      <c r="Q55" s="12">
        <f t="shared" si="0"/>
        <v>-1.8912790201915545E-4</v>
      </c>
      <c r="R55" s="3">
        <f t="shared" si="1"/>
        <v>3.1833111817209444E-4</v>
      </c>
      <c r="S55" s="14">
        <f t="shared" si="3"/>
        <v>1.7841836177145402E-2</v>
      </c>
    </row>
    <row r="56" spans="1:19" x14ac:dyDescent="0.35">
      <c r="A56" s="4">
        <v>43517</v>
      </c>
      <c r="B56" s="2">
        <v>51.459999000000003</v>
      </c>
      <c r="C56" s="2">
        <v>19.513641</v>
      </c>
      <c r="D56" s="2">
        <v>34.937237000000003</v>
      </c>
      <c r="E56" s="2">
        <v>51.052562999999999</v>
      </c>
      <c r="F56" s="8">
        <v>1005.56073</v>
      </c>
      <c r="G56" s="12">
        <f t="shared" si="4"/>
        <v>-1.0631181909807981E-2</v>
      </c>
      <c r="H56" s="3">
        <f t="shared" si="5"/>
        <v>1.0612783379094042E-2</v>
      </c>
      <c r="I56" s="3">
        <f t="shared" si="6"/>
        <v>-1.6737452847623727E-3</v>
      </c>
      <c r="J56" s="3">
        <f t="shared" si="7"/>
        <v>1.8988116792876633E-4</v>
      </c>
      <c r="K56" s="14">
        <f t="shared" si="8"/>
        <v>8.2741440577714601E-3</v>
      </c>
      <c r="L56" s="9">
        <v>0.2</v>
      </c>
      <c r="M56" s="2">
        <v>0.2</v>
      </c>
      <c r="N56" s="2">
        <v>0.6</v>
      </c>
      <c r="O56" s="2">
        <v>0</v>
      </c>
      <c r="P56" s="8">
        <v>0</v>
      </c>
      <c r="Q56" s="12">
        <f t="shared" si="0"/>
        <v>-8.8871713269736728E-5</v>
      </c>
      <c r="R56" s="3">
        <f t="shared" si="1"/>
        <v>2.88288478871413E-4</v>
      </c>
      <c r="S56" s="14">
        <f t="shared" si="3"/>
        <v>1.6979060011420331E-2</v>
      </c>
    </row>
    <row r="57" spans="1:19" x14ac:dyDescent="0.35">
      <c r="A57" s="4">
        <v>43518</v>
      </c>
      <c r="B57" s="2">
        <v>51.110000999999997</v>
      </c>
      <c r="C57" s="2">
        <v>20.32827</v>
      </c>
      <c r="D57" s="2">
        <v>36.741646000000003</v>
      </c>
      <c r="E57" s="2">
        <v>51.343178000000002</v>
      </c>
      <c r="F57" s="8">
        <v>1011.276428</v>
      </c>
      <c r="G57" s="12">
        <f t="shared" si="4"/>
        <v>-6.8245950751982705E-3</v>
      </c>
      <c r="H57" s="3">
        <f t="shared" si="5"/>
        <v>4.0898768633771308E-2</v>
      </c>
      <c r="I57" s="3">
        <f t="shared" si="6"/>
        <v>5.0357656931010422E-2</v>
      </c>
      <c r="J57" s="3">
        <f t="shared" si="7"/>
        <v>5.6763255478981456E-3</v>
      </c>
      <c r="K57" s="14">
        <f t="shared" si="8"/>
        <v>5.6679968229317876E-3</v>
      </c>
      <c r="L57" s="9">
        <v>0.1</v>
      </c>
      <c r="M57" s="2">
        <v>0.3</v>
      </c>
      <c r="N57" s="2">
        <v>0.6</v>
      </c>
      <c r="O57" s="2">
        <v>0</v>
      </c>
      <c r="P57" s="8">
        <v>0</v>
      </c>
      <c r="Q57" s="12">
        <f t="shared" si="0"/>
        <v>1.1384475479682101E-5</v>
      </c>
      <c r="R57" s="3">
        <f t="shared" si="1"/>
        <v>2.8281381965186204E-4</v>
      </c>
      <c r="S57" s="14">
        <f t="shared" si="3"/>
        <v>1.6817069294376534E-2</v>
      </c>
    </row>
    <row r="58" spans="1:19" x14ac:dyDescent="0.35">
      <c r="A58" s="4">
        <v>43521</v>
      </c>
      <c r="B58" s="2">
        <v>50.509998000000003</v>
      </c>
      <c r="C58" s="2">
        <v>20.571722000000001</v>
      </c>
      <c r="D58" s="2">
        <v>36.468544000000001</v>
      </c>
      <c r="E58" s="2">
        <v>51.362609999999997</v>
      </c>
      <c r="F58" s="8">
        <v>1038.3367920000001</v>
      </c>
      <c r="G58" s="12">
        <f t="shared" si="4"/>
        <v>-1.1808895461989774E-2</v>
      </c>
      <c r="H58" s="3">
        <f t="shared" si="5"/>
        <v>1.1904886205819309E-2</v>
      </c>
      <c r="I58" s="3">
        <f t="shared" si="6"/>
        <v>-7.4607992908414938E-3</v>
      </c>
      <c r="J58" s="3">
        <f t="shared" si="7"/>
        <v>3.7840126852173116E-4</v>
      </c>
      <c r="K58" s="14">
        <f t="shared" si="8"/>
        <v>2.6406871503231264E-2</v>
      </c>
      <c r="L58" s="9">
        <v>0</v>
      </c>
      <c r="M58" s="2">
        <v>0.4</v>
      </c>
      <c r="N58" s="2">
        <v>0.6</v>
      </c>
      <c r="O58" s="2">
        <v>0</v>
      </c>
      <c r="P58" s="8">
        <v>0</v>
      </c>
      <c r="Q58" s="12">
        <f t="shared" si="0"/>
        <v>1.1164066422910093E-4</v>
      </c>
      <c r="R58" s="3">
        <f t="shared" si="1"/>
        <v>3.0190714051344162E-4</v>
      </c>
      <c r="S58" s="14">
        <f t="shared" si="3"/>
        <v>1.7375475260073943E-2</v>
      </c>
    </row>
    <row r="59" spans="1:19" x14ac:dyDescent="0.35">
      <c r="A59" s="4">
        <v>43522</v>
      </c>
      <c r="B59" s="2">
        <v>50.830002</v>
      </c>
      <c r="C59" s="2">
        <v>21.189717999999999</v>
      </c>
      <c r="D59" s="2">
        <v>37.034252000000002</v>
      </c>
      <c r="E59" s="2">
        <v>50.944949999999999</v>
      </c>
      <c r="F59" s="8">
        <v>1044.2807620000001</v>
      </c>
      <c r="G59" s="12">
        <f t="shared" si="4"/>
        <v>6.3154739218118632E-3</v>
      </c>
      <c r="H59" s="3">
        <f t="shared" si="5"/>
        <v>2.9598649719576896E-2</v>
      </c>
      <c r="I59" s="3">
        <f t="shared" si="6"/>
        <v>1.53931333513795E-2</v>
      </c>
      <c r="J59" s="3">
        <f t="shared" si="7"/>
        <v>-8.1648378723535517E-3</v>
      </c>
      <c r="K59" s="14">
        <f t="shared" si="8"/>
        <v>5.7081878793751465E-3</v>
      </c>
      <c r="L59" s="9">
        <v>0.3</v>
      </c>
      <c r="M59" s="2">
        <v>0</v>
      </c>
      <c r="N59" s="2">
        <v>0.7</v>
      </c>
      <c r="O59" s="2">
        <v>0</v>
      </c>
      <c r="P59" s="8">
        <v>0</v>
      </c>
      <c r="Q59" s="12">
        <f t="shared" si="0"/>
        <v>-1.4463416883658586E-4</v>
      </c>
      <c r="R59" s="3">
        <f t="shared" si="1"/>
        <v>3.6182231940279255E-4</v>
      </c>
      <c r="S59" s="14">
        <f t="shared" si="3"/>
        <v>1.9021627674907123E-2</v>
      </c>
    </row>
    <row r="60" spans="1:19" x14ac:dyDescent="0.35">
      <c r="A60" s="4">
        <v>43523</v>
      </c>
      <c r="B60" s="2">
        <v>49.439999</v>
      </c>
      <c r="C60" s="2">
        <v>21.685984000000001</v>
      </c>
      <c r="D60" s="2">
        <v>37.521931000000002</v>
      </c>
      <c r="E60" s="2">
        <v>50.760399</v>
      </c>
      <c r="F60" s="8">
        <v>1027.8679199999999</v>
      </c>
      <c r="G60" s="12">
        <f t="shared" si="4"/>
        <v>-2.7726977882754925E-2</v>
      </c>
      <c r="H60" s="3">
        <f t="shared" si="5"/>
        <v>2.3150089219102169E-2</v>
      </c>
      <c r="I60" s="3">
        <f t="shared" si="6"/>
        <v>1.3082374548115103E-2</v>
      </c>
      <c r="J60" s="3">
        <f t="shared" si="7"/>
        <v>-3.6291346397953257E-3</v>
      </c>
      <c r="K60" s="14">
        <f t="shared" si="8"/>
        <v>-1.5841706136148839E-2</v>
      </c>
      <c r="L60" s="9">
        <v>0.2</v>
      </c>
      <c r="M60" s="2">
        <v>0.1</v>
      </c>
      <c r="N60" s="2">
        <v>0.7</v>
      </c>
      <c r="O60" s="2">
        <v>0</v>
      </c>
      <c r="P60" s="8">
        <v>0</v>
      </c>
      <c r="Q60" s="12">
        <f t="shared" si="0"/>
        <v>-4.437798008716709E-5</v>
      </c>
      <c r="R60" s="3">
        <f t="shared" si="1"/>
        <v>3.2748598814492024E-4</v>
      </c>
      <c r="S60" s="14">
        <f t="shared" si="3"/>
        <v>1.8096573933894786E-2</v>
      </c>
    </row>
    <row r="61" spans="1:19" x14ac:dyDescent="0.35">
      <c r="A61" s="4">
        <v>43524</v>
      </c>
      <c r="B61" s="2">
        <v>48.810001</v>
      </c>
      <c r="C61" s="2">
        <v>21.835799999999999</v>
      </c>
      <c r="D61" s="2">
        <v>37.287846000000002</v>
      </c>
      <c r="E61" s="2">
        <v>48.419552000000003</v>
      </c>
      <c r="F61" s="8">
        <v>996.03448500000002</v>
      </c>
      <c r="G61" s="12">
        <f t="shared" si="4"/>
        <v>-1.2824562536236971E-2</v>
      </c>
      <c r="H61" s="3">
        <f t="shared" si="5"/>
        <v>6.8846714443742971E-3</v>
      </c>
      <c r="I61" s="3">
        <f t="shared" si="6"/>
        <v>-6.2581596516691146E-3</v>
      </c>
      <c r="J61" s="3">
        <f t="shared" si="7"/>
        <v>-4.7212804243330395E-2</v>
      </c>
      <c r="K61" s="14">
        <f t="shared" si="8"/>
        <v>-3.1460074791060874E-2</v>
      </c>
      <c r="L61" s="9">
        <v>0.1</v>
      </c>
      <c r="M61" s="2">
        <v>0.2</v>
      </c>
      <c r="N61" s="2">
        <v>0.7</v>
      </c>
      <c r="O61" s="2">
        <v>0</v>
      </c>
      <c r="P61" s="8">
        <v>0</v>
      </c>
      <c r="Q61" s="12">
        <f t="shared" si="0"/>
        <v>5.5878208662251739E-5</v>
      </c>
      <c r="R61" s="3">
        <f t="shared" si="1"/>
        <v>3.1771763696817842E-4</v>
      </c>
      <c r="S61" s="14">
        <f t="shared" si="3"/>
        <v>1.7824635675608588E-2</v>
      </c>
    </row>
    <row r="62" spans="1:19" x14ac:dyDescent="0.35">
      <c r="A62" s="4">
        <v>43525</v>
      </c>
      <c r="B62" s="2">
        <v>47.98</v>
      </c>
      <c r="C62" s="2">
        <v>21.732800999999998</v>
      </c>
      <c r="D62" s="2">
        <v>37.404884000000003</v>
      </c>
      <c r="E62" s="2">
        <v>48.293284999999997</v>
      </c>
      <c r="F62" s="8">
        <v>988.68151899999998</v>
      </c>
      <c r="G62" s="12">
        <f t="shared" si="4"/>
        <v>-1.7150972975112502E-2</v>
      </c>
      <c r="H62" s="3">
        <f t="shared" si="5"/>
        <v>-4.7281385914140694E-3</v>
      </c>
      <c r="I62" s="3">
        <f t="shared" si="6"/>
        <v>3.1338550829859697E-3</v>
      </c>
      <c r="J62" s="3">
        <f t="shared" si="7"/>
        <v>-2.6111750137816714E-3</v>
      </c>
      <c r="K62" s="14">
        <f t="shared" si="8"/>
        <v>-7.409623972919146E-3</v>
      </c>
      <c r="L62" s="9">
        <v>0</v>
      </c>
      <c r="M62" s="2">
        <v>0.3</v>
      </c>
      <c r="N62" s="2">
        <v>0.7</v>
      </c>
      <c r="O62" s="2">
        <v>0</v>
      </c>
      <c r="P62" s="8">
        <v>0</v>
      </c>
      <c r="Q62" s="12">
        <f t="shared" si="0"/>
        <v>1.5613439741167054E-4</v>
      </c>
      <c r="R62" s="3">
        <f t="shared" si="1"/>
        <v>3.3251726587256702E-4</v>
      </c>
      <c r="S62" s="14">
        <f t="shared" si="3"/>
        <v>1.8235055960225816E-2</v>
      </c>
    </row>
    <row r="63" spans="1:19" x14ac:dyDescent="0.35">
      <c r="A63" s="4">
        <v>43528</v>
      </c>
      <c r="B63" s="2">
        <v>46.43</v>
      </c>
      <c r="C63" s="2">
        <v>21.386351000000001</v>
      </c>
      <c r="D63" s="2">
        <v>37.209816000000004</v>
      </c>
      <c r="E63" s="2">
        <v>48.167014999999999</v>
      </c>
      <c r="F63" s="8">
        <v>987.044128</v>
      </c>
      <c r="G63" s="12">
        <f t="shared" si="4"/>
        <v>-3.2838455379718114E-2</v>
      </c>
      <c r="H63" s="3">
        <f t="shared" si="5"/>
        <v>-1.6069771293329635E-2</v>
      </c>
      <c r="I63" s="3">
        <f t="shared" si="6"/>
        <v>-5.2286866908569842E-3</v>
      </c>
      <c r="J63" s="3">
        <f t="shared" si="7"/>
        <v>-2.618073386138071E-3</v>
      </c>
      <c r="K63" s="14">
        <f t="shared" si="8"/>
        <v>-1.6575088523632807E-3</v>
      </c>
      <c r="L63" s="9">
        <v>0.2</v>
      </c>
      <c r="M63" s="2">
        <v>0</v>
      </c>
      <c r="N63" s="2">
        <v>0.8</v>
      </c>
      <c r="O63" s="2">
        <v>0</v>
      </c>
      <c r="P63" s="8">
        <v>0</v>
      </c>
      <c r="Q63" s="12">
        <f t="shared" si="0"/>
        <v>1.1575309540254861E-7</v>
      </c>
      <c r="R63" s="3">
        <f t="shared" si="1"/>
        <v>3.8088203138836839E-4</v>
      </c>
      <c r="S63" s="14">
        <f t="shared" si="3"/>
        <v>1.9516199204465207E-2</v>
      </c>
    </row>
    <row r="64" spans="1:19" x14ac:dyDescent="0.35">
      <c r="A64" s="4">
        <v>43529</v>
      </c>
      <c r="B64" s="2">
        <v>46.32</v>
      </c>
      <c r="C64" s="2">
        <v>21.545532000000001</v>
      </c>
      <c r="D64" s="2">
        <v>37.297595999999999</v>
      </c>
      <c r="E64" s="2">
        <v>48.293284999999997</v>
      </c>
      <c r="F64" s="8">
        <v>989.27691700000003</v>
      </c>
      <c r="G64" s="12">
        <f t="shared" si="4"/>
        <v>-2.3719687670905477E-3</v>
      </c>
      <c r="H64" s="3">
        <f t="shared" si="5"/>
        <v>7.4155484608501325E-3</v>
      </c>
      <c r="I64" s="3">
        <f t="shared" si="6"/>
        <v>2.3562767315865986E-3</v>
      </c>
      <c r="J64" s="3">
        <f t="shared" si="7"/>
        <v>2.6180733861380276E-3</v>
      </c>
      <c r="K64" s="14">
        <f t="shared" si="8"/>
        <v>2.2595417435975606E-3</v>
      </c>
      <c r="L64" s="9">
        <v>0.1</v>
      </c>
      <c r="M64" s="2">
        <v>0.1</v>
      </c>
      <c r="N64" s="2">
        <v>0.8</v>
      </c>
      <c r="O64" s="2">
        <v>0</v>
      </c>
      <c r="P64" s="8">
        <v>0</v>
      </c>
      <c r="Q64" s="12">
        <f t="shared" si="0"/>
        <v>1.0037194184482135E-4</v>
      </c>
      <c r="R64" s="3">
        <f t="shared" si="1"/>
        <v>3.668199882544357E-4</v>
      </c>
      <c r="S64" s="14">
        <f t="shared" si="3"/>
        <v>1.9152545216091665E-2</v>
      </c>
    </row>
    <row r="65" spans="1:19" x14ac:dyDescent="0.35">
      <c r="A65" s="4">
        <v>43530</v>
      </c>
      <c r="B65" s="2">
        <v>46.049999</v>
      </c>
      <c r="C65" s="2">
        <v>21.582981</v>
      </c>
      <c r="D65" s="2">
        <v>37.443900999999997</v>
      </c>
      <c r="E65" s="2">
        <v>48.798358999999998</v>
      </c>
      <c r="F65" s="8">
        <v>1002.53418</v>
      </c>
      <c r="G65" s="12">
        <f t="shared" si="4"/>
        <v>-5.846092278950759E-3</v>
      </c>
      <c r="H65" s="3">
        <f t="shared" si="5"/>
        <v>1.736624186961993E-3</v>
      </c>
      <c r="I65" s="3">
        <f t="shared" si="6"/>
        <v>3.9149653870981073E-3</v>
      </c>
      <c r="J65" s="3">
        <f t="shared" si="7"/>
        <v>1.0404161166243639E-2</v>
      </c>
      <c r="K65" s="14">
        <f t="shared" si="8"/>
        <v>1.3311963965093262E-2</v>
      </c>
      <c r="L65" s="9">
        <v>0</v>
      </c>
      <c r="M65" s="2">
        <v>0.2</v>
      </c>
      <c r="N65" s="2">
        <v>0.8</v>
      </c>
      <c r="O65" s="2">
        <v>0</v>
      </c>
      <c r="P65" s="8">
        <v>0</v>
      </c>
      <c r="Q65" s="12">
        <f t="shared" si="0"/>
        <v>2.0062813059424018E-4</v>
      </c>
      <c r="R65" s="3">
        <f t="shared" si="1"/>
        <v>3.7732592520163343E-4</v>
      </c>
      <c r="S65" s="14">
        <f t="shared" si="3"/>
        <v>1.9424879026692377E-2</v>
      </c>
    </row>
    <row r="66" spans="1:19" x14ac:dyDescent="0.35">
      <c r="A66" s="4">
        <v>43531</v>
      </c>
      <c r="B66" s="2">
        <v>45.939999</v>
      </c>
      <c r="C66" s="2">
        <v>21.152262</v>
      </c>
      <c r="D66" s="2">
        <v>36.790416999999998</v>
      </c>
      <c r="E66" s="2">
        <v>49.099463999999998</v>
      </c>
      <c r="F66" s="8">
        <v>999.40838599999995</v>
      </c>
      <c r="G66" s="12">
        <f t="shared" si="4"/>
        <v>-2.3915654923599042E-3</v>
      </c>
      <c r="H66" s="3">
        <f t="shared" si="5"/>
        <v>-2.0158237325854436E-2</v>
      </c>
      <c r="I66" s="3">
        <f t="shared" si="6"/>
        <v>-1.7606435903465958E-2</v>
      </c>
      <c r="J66" s="3">
        <f t="shared" si="7"/>
        <v>6.1514329994252622E-3</v>
      </c>
      <c r="K66" s="14">
        <f t="shared" si="8"/>
        <v>-3.1227634530824663E-3</v>
      </c>
      <c r="L66" s="9">
        <v>0.1</v>
      </c>
      <c r="M66" s="2">
        <v>0</v>
      </c>
      <c r="N66" s="2">
        <v>0.9</v>
      </c>
      <c r="O66" s="2">
        <v>0</v>
      </c>
      <c r="P66" s="8">
        <v>0</v>
      </c>
      <c r="Q66" s="12">
        <f t="shared" si="0"/>
        <v>1.4486567502739102E-4</v>
      </c>
      <c r="R66" s="3">
        <f t="shared" si="1"/>
        <v>4.301208735106336E-4</v>
      </c>
      <c r="S66" s="14">
        <f t="shared" si="3"/>
        <v>2.0739355667682483E-2</v>
      </c>
    </row>
    <row r="67" spans="1:19" x14ac:dyDescent="0.35">
      <c r="A67" s="4">
        <v>43532</v>
      </c>
      <c r="B67" s="2">
        <v>45.560001</v>
      </c>
      <c r="C67" s="2">
        <v>21.283349999999999</v>
      </c>
      <c r="D67" s="2">
        <v>37.024498000000001</v>
      </c>
      <c r="E67" s="2">
        <v>49.216019000000003</v>
      </c>
      <c r="F67" s="8">
        <v>1025.853638</v>
      </c>
      <c r="G67" s="12">
        <f t="shared" si="4"/>
        <v>-8.3060149653697759E-3</v>
      </c>
      <c r="H67" s="3">
        <f t="shared" si="5"/>
        <v>6.178226767372748E-3</v>
      </c>
      <c r="I67" s="3">
        <f t="shared" si="6"/>
        <v>6.3423980012235403E-3</v>
      </c>
      <c r="J67" s="3">
        <f t="shared" si="7"/>
        <v>2.3710416924758301E-3</v>
      </c>
      <c r="K67" s="14">
        <f t="shared" si="8"/>
        <v>2.6116872623841603E-2</v>
      </c>
      <c r="L67" s="9">
        <v>0</v>
      </c>
      <c r="M67" s="2">
        <v>0.1</v>
      </c>
      <c r="N67" s="2">
        <v>0.9</v>
      </c>
      <c r="O67" s="2">
        <v>0</v>
      </c>
      <c r="P67" s="8">
        <v>0</v>
      </c>
      <c r="Q67" s="12">
        <f t="shared" ref="Q67:Q130" si="9">SUMPRODUCT($U$5:$Y$5,L67:P67)</f>
        <v>2.4512186377680979E-4</v>
      </c>
      <c r="R67" s="3">
        <f t="shared" ref="R67:R130" si="10">POWER(L67,2)*$V$9+POWER(M67,2)*$W$10+POWER(N67,2)*$X$11+POWER(O67,2)*$Y$12+POWER(P67,2)*$Z$13+2*(L67*M67*$V$10+N67*O67*$X$12+N67*P67*$X$13+$O$3*P67*$Y$13+L67*N67*$V$11+L67*O67*$V$12+L67*P67*$V$13+M67*N67*$W$11+M67*O67*$W$12+M67*P67*$W$13)</f>
        <v>4.3633311850064052E-4</v>
      </c>
      <c r="S67" s="14">
        <f t="shared" si="3"/>
        <v>2.0888588236179114E-2</v>
      </c>
    </row>
    <row r="68" spans="1:19" x14ac:dyDescent="0.35">
      <c r="A68" s="4">
        <v>43535</v>
      </c>
      <c r="B68" s="2">
        <v>45.68</v>
      </c>
      <c r="C68" s="2">
        <v>21.348894000000001</v>
      </c>
      <c r="D68" s="2">
        <v>37.580447999999997</v>
      </c>
      <c r="E68" s="2">
        <v>48.953772999999998</v>
      </c>
      <c r="F68" s="8">
        <v>1025</v>
      </c>
      <c r="G68" s="12">
        <f t="shared" si="4"/>
        <v>2.630404819695422E-3</v>
      </c>
      <c r="H68" s="3">
        <f t="shared" si="5"/>
        <v>3.0748581586207912E-3</v>
      </c>
      <c r="I68" s="3">
        <f t="shared" si="6"/>
        <v>1.4904113493496853E-2</v>
      </c>
      <c r="J68" s="3">
        <f t="shared" si="7"/>
        <v>-5.342715278622249E-3</v>
      </c>
      <c r="K68" s="14">
        <f t="shared" si="8"/>
        <v>-8.3247096085378855E-4</v>
      </c>
      <c r="L68" s="9">
        <v>0</v>
      </c>
      <c r="M68" s="2">
        <v>0</v>
      </c>
      <c r="N68" s="2">
        <v>1</v>
      </c>
      <c r="O68" s="2">
        <v>0</v>
      </c>
      <c r="P68" s="8">
        <v>0</v>
      </c>
      <c r="Q68" s="12">
        <f t="shared" si="9"/>
        <v>2.896155969593794E-4</v>
      </c>
      <c r="R68" s="3">
        <f t="shared" si="10"/>
        <v>5.095388457695884E-4</v>
      </c>
      <c r="S68" s="14">
        <f t="shared" ref="S68:S131" si="11">SQRT(R68)</f>
        <v>2.2572967145893522E-2</v>
      </c>
    </row>
    <row r="69" spans="1:19" x14ac:dyDescent="0.35">
      <c r="A69" s="4">
        <v>43536</v>
      </c>
      <c r="B69" s="2">
        <v>44.25</v>
      </c>
      <c r="C69" s="2">
        <v>21.714077</v>
      </c>
      <c r="D69" s="2">
        <v>37.092773000000001</v>
      </c>
      <c r="E69" s="2">
        <v>48.827499000000003</v>
      </c>
      <c r="F69" s="8">
        <v>1042.385376</v>
      </c>
      <c r="G69" s="12">
        <f t="shared" ref="G69:G132" si="12">LN(B69/B68)</f>
        <v>-3.1805193893816197E-2</v>
      </c>
      <c r="H69" s="3">
        <f t="shared" ref="H69:H132" si="13">LN(C69/C68)</f>
        <v>1.6960824848554771E-2</v>
      </c>
      <c r="I69" s="3">
        <f t="shared" ref="I69:I132" si="14">LN(D69/D68)</f>
        <v>-1.3061762354801667E-2</v>
      </c>
      <c r="J69" s="3">
        <f t="shared" ref="J69:J132" si="15">LN(E69/E68)</f>
        <v>-2.5827864091510773E-3</v>
      </c>
      <c r="K69" s="14">
        <f t="shared" ref="K69:K132" si="16">LN(F69/F68)</f>
        <v>1.6819104976248122E-2</v>
      </c>
      <c r="L69" s="9">
        <v>0.9</v>
      </c>
      <c r="M69" s="2">
        <v>0</v>
      </c>
      <c r="N69" s="2">
        <v>0</v>
      </c>
      <c r="O69" s="2">
        <v>0.1</v>
      </c>
      <c r="P69" s="8">
        <v>0</v>
      </c>
      <c r="Q69" s="12">
        <f t="shared" si="9"/>
        <v>-1.0153318284965736E-3</v>
      </c>
      <c r="R69" s="3">
        <f t="shared" si="10"/>
        <v>8.8525637310093042E-4</v>
      </c>
      <c r="S69" s="14">
        <f t="shared" si="11"/>
        <v>2.9753258193027037E-2</v>
      </c>
    </row>
    <row r="70" spans="1:19" x14ac:dyDescent="0.35">
      <c r="A70" s="4">
        <v>43537</v>
      </c>
      <c r="B70" s="2">
        <v>42.549999</v>
      </c>
      <c r="C70" s="2">
        <v>22.519338999999999</v>
      </c>
      <c r="D70" s="2">
        <v>37.521931000000002</v>
      </c>
      <c r="E70" s="2">
        <v>50.507857999999999</v>
      </c>
      <c r="F70" s="8">
        <v>1026.8854980000001</v>
      </c>
      <c r="G70" s="12">
        <f t="shared" si="12"/>
        <v>-3.9175539936318254E-2</v>
      </c>
      <c r="H70" s="3">
        <f t="shared" si="13"/>
        <v>3.6413691250667637E-2</v>
      </c>
      <c r="I70" s="3">
        <f t="shared" si="14"/>
        <v>1.150343590440266E-2</v>
      </c>
      <c r="J70" s="3">
        <f t="shared" si="15"/>
        <v>3.3835269888022546E-2</v>
      </c>
      <c r="K70" s="14">
        <f t="shared" si="16"/>
        <v>-1.4981284559329049E-2</v>
      </c>
      <c r="L70" s="9">
        <v>0.8</v>
      </c>
      <c r="M70" s="2">
        <v>0.1</v>
      </c>
      <c r="N70" s="2">
        <v>0</v>
      </c>
      <c r="O70" s="2">
        <v>0.1</v>
      </c>
      <c r="P70" s="8">
        <v>0</v>
      </c>
      <c r="Q70" s="12">
        <f t="shared" si="9"/>
        <v>-9.1507563974715489E-4</v>
      </c>
      <c r="R70" s="3">
        <f t="shared" si="10"/>
        <v>7.2793581899297367E-4</v>
      </c>
      <c r="S70" s="14">
        <f t="shared" si="11"/>
        <v>2.6980285747059345E-2</v>
      </c>
    </row>
    <row r="71" spans="1:19" x14ac:dyDescent="0.35">
      <c r="A71" s="4">
        <v>43538</v>
      </c>
      <c r="B71" s="2">
        <v>41.990001999999997</v>
      </c>
      <c r="C71" s="2">
        <v>22.622337000000002</v>
      </c>
      <c r="D71" s="2">
        <v>37.531685000000003</v>
      </c>
      <c r="E71" s="2">
        <v>49.254874999999998</v>
      </c>
      <c r="F71" s="8">
        <v>1029.009155</v>
      </c>
      <c r="G71" s="12">
        <f t="shared" si="12"/>
        <v>-1.3248289191131307E-2</v>
      </c>
      <c r="H71" s="3">
        <f t="shared" si="13"/>
        <v>4.5633298478162231E-3</v>
      </c>
      <c r="I71" s="3">
        <f t="shared" si="14"/>
        <v>2.5992085590948789E-4</v>
      </c>
      <c r="J71" s="3">
        <f t="shared" si="15"/>
        <v>-2.5120580645667429E-2</v>
      </c>
      <c r="K71" s="14">
        <f t="shared" si="16"/>
        <v>2.0659207924102656E-3</v>
      </c>
      <c r="L71" s="9">
        <v>0.7</v>
      </c>
      <c r="M71" s="2">
        <v>0.2</v>
      </c>
      <c r="N71" s="2">
        <v>0</v>
      </c>
      <c r="O71" s="2">
        <v>0.1</v>
      </c>
      <c r="P71" s="8">
        <v>0</v>
      </c>
      <c r="Q71" s="12">
        <f t="shared" si="9"/>
        <v>-8.1481945099773595E-4</v>
      </c>
      <c r="R71" s="3">
        <f t="shared" si="10"/>
        <v>5.9518324496614708E-4</v>
      </c>
      <c r="S71" s="14">
        <f t="shared" si="11"/>
        <v>2.4396377701743903E-2</v>
      </c>
    </row>
    <row r="72" spans="1:19" x14ac:dyDescent="0.35">
      <c r="A72" s="4">
        <v>43539</v>
      </c>
      <c r="B72" s="2">
        <v>42.759998000000003</v>
      </c>
      <c r="C72" s="2">
        <v>22.444431000000002</v>
      </c>
      <c r="D72" s="2">
        <v>37.834045000000003</v>
      </c>
      <c r="E72" s="2">
        <v>49.604545999999999</v>
      </c>
      <c r="F72" s="8">
        <v>1054.5610349999999</v>
      </c>
      <c r="G72" s="12">
        <f t="shared" si="12"/>
        <v>1.8171497057669794E-2</v>
      </c>
      <c r="H72" s="3">
        <f t="shared" si="13"/>
        <v>-7.8952599462426363E-3</v>
      </c>
      <c r="I72" s="3">
        <f t="shared" si="14"/>
        <v>8.0238490946466703E-3</v>
      </c>
      <c r="J72" s="3">
        <f t="shared" si="15"/>
        <v>7.0741352657856353E-3</v>
      </c>
      <c r="K72" s="14">
        <f t="shared" si="16"/>
        <v>2.4528245974070158E-2</v>
      </c>
      <c r="L72" s="9">
        <v>0.6</v>
      </c>
      <c r="M72" s="2">
        <v>0.3</v>
      </c>
      <c r="N72" s="2">
        <v>0</v>
      </c>
      <c r="O72" s="2">
        <v>0.1</v>
      </c>
      <c r="P72" s="8">
        <v>0</v>
      </c>
      <c r="Q72" s="12">
        <f t="shared" si="9"/>
        <v>-7.1456326224831712E-4</v>
      </c>
      <c r="R72" s="3">
        <f t="shared" si="10"/>
        <v>4.8699865102045119E-4</v>
      </c>
      <c r="S72" s="14">
        <f t="shared" si="11"/>
        <v>2.20680459266436E-2</v>
      </c>
    </row>
    <row r="73" spans="1:19" x14ac:dyDescent="0.35">
      <c r="A73" s="4">
        <v>43543</v>
      </c>
      <c r="B73" s="2">
        <v>42.740001999999997</v>
      </c>
      <c r="C73" s="2">
        <v>22.481881999999999</v>
      </c>
      <c r="D73" s="2">
        <v>37.77552</v>
      </c>
      <c r="E73" s="2">
        <v>49.662827</v>
      </c>
      <c r="F73" s="8">
        <v>1041.373169</v>
      </c>
      <c r="G73" s="12">
        <f t="shared" si="12"/>
        <v>-4.67742698586433E-4</v>
      </c>
      <c r="H73" s="3">
        <f t="shared" si="13"/>
        <v>1.6672193275669303E-3</v>
      </c>
      <c r="I73" s="3">
        <f t="shared" si="14"/>
        <v>-1.5480848669941823E-3</v>
      </c>
      <c r="J73" s="3">
        <f t="shared" si="15"/>
        <v>1.1742228072556906E-3</v>
      </c>
      <c r="K73" s="14">
        <f t="shared" si="16"/>
        <v>-1.2584402714691214E-2</v>
      </c>
      <c r="L73" s="9">
        <v>0.5</v>
      </c>
      <c r="M73" s="2">
        <v>0.4</v>
      </c>
      <c r="N73" s="2">
        <v>0</v>
      </c>
      <c r="O73" s="2">
        <v>0.1</v>
      </c>
      <c r="P73" s="8">
        <v>0</v>
      </c>
      <c r="Q73" s="12">
        <f t="shared" si="9"/>
        <v>-6.143070734988984E-4</v>
      </c>
      <c r="R73" s="3">
        <f t="shared" si="10"/>
        <v>4.0338203715588588E-4</v>
      </c>
      <c r="S73" s="14">
        <f t="shared" si="11"/>
        <v>2.008437295899192E-2</v>
      </c>
    </row>
    <row r="74" spans="1:19" x14ac:dyDescent="0.35">
      <c r="A74" s="4">
        <v>43544</v>
      </c>
      <c r="B74" s="2">
        <v>43.110000999999997</v>
      </c>
      <c r="C74" s="2">
        <v>23.521238</v>
      </c>
      <c r="D74" s="2">
        <v>38.477778999999998</v>
      </c>
      <c r="E74" s="2">
        <v>50.255322</v>
      </c>
      <c r="F74" s="8">
        <v>1049.540039</v>
      </c>
      <c r="G74" s="12">
        <f t="shared" si="12"/>
        <v>8.6197152699448755E-3</v>
      </c>
      <c r="H74" s="3">
        <f t="shared" si="13"/>
        <v>4.5194017317147429E-2</v>
      </c>
      <c r="I74" s="3">
        <f t="shared" si="14"/>
        <v>1.8419632054398449E-2</v>
      </c>
      <c r="J74" s="3">
        <f t="shared" si="15"/>
        <v>1.1859746214787005E-2</v>
      </c>
      <c r="K74" s="14">
        <f t="shared" si="16"/>
        <v>7.811813039637139E-3</v>
      </c>
      <c r="L74" s="9">
        <v>0.4</v>
      </c>
      <c r="M74" s="2">
        <v>0.5</v>
      </c>
      <c r="N74" s="2">
        <v>0</v>
      </c>
      <c r="O74" s="2">
        <v>0.1</v>
      </c>
      <c r="P74" s="8">
        <v>0</v>
      </c>
      <c r="Q74" s="12">
        <f t="shared" si="9"/>
        <v>-5.1405088474947957E-4</v>
      </c>
      <c r="R74" s="3">
        <f t="shared" si="10"/>
        <v>3.4433340337245094E-4</v>
      </c>
      <c r="S74" s="14">
        <f t="shared" si="11"/>
        <v>1.8556222766836224E-2</v>
      </c>
    </row>
    <row r="75" spans="1:19" x14ac:dyDescent="0.35">
      <c r="A75" s="4">
        <v>43545</v>
      </c>
      <c r="B75" s="2">
        <v>42.650002000000001</v>
      </c>
      <c r="C75" s="2">
        <v>23.315241</v>
      </c>
      <c r="D75" s="2">
        <v>38.741123000000002</v>
      </c>
      <c r="E75" s="2">
        <v>50.575851</v>
      </c>
      <c r="F75" s="8">
        <v>1049.361328</v>
      </c>
      <c r="G75" s="12">
        <f t="shared" si="12"/>
        <v>-1.072769112451232E-2</v>
      </c>
      <c r="H75" s="3">
        <f t="shared" si="13"/>
        <v>-8.7964907996424691E-3</v>
      </c>
      <c r="I75" s="3">
        <f t="shared" si="14"/>
        <v>6.820739848147849E-3</v>
      </c>
      <c r="J75" s="3">
        <f t="shared" si="15"/>
        <v>6.3577576287184726E-3</v>
      </c>
      <c r="K75" s="14">
        <f t="shared" si="16"/>
        <v>-1.7029004148712528E-4</v>
      </c>
      <c r="L75" s="9">
        <v>0.3</v>
      </c>
      <c r="M75" s="2">
        <v>0.6</v>
      </c>
      <c r="N75" s="2">
        <v>0</v>
      </c>
      <c r="O75" s="2">
        <v>0.1</v>
      </c>
      <c r="P75" s="8">
        <v>0</v>
      </c>
      <c r="Q75" s="12">
        <f t="shared" si="9"/>
        <v>-4.137946960000608E-4</v>
      </c>
      <c r="R75" s="3">
        <f t="shared" si="10"/>
        <v>3.0985274967014649E-4</v>
      </c>
      <c r="S75" s="14">
        <f t="shared" si="11"/>
        <v>1.7602634736599704E-2</v>
      </c>
    </row>
    <row r="76" spans="1:19" x14ac:dyDescent="0.35">
      <c r="A76" s="4">
        <v>43546</v>
      </c>
      <c r="B76" s="2">
        <v>42.34</v>
      </c>
      <c r="C76" s="2">
        <v>23.315241</v>
      </c>
      <c r="D76" s="2">
        <v>38.126652</v>
      </c>
      <c r="E76" s="2">
        <v>49.186881999999997</v>
      </c>
      <c r="F76" s="8">
        <v>1040.8076169999999</v>
      </c>
      <c r="G76" s="12">
        <f t="shared" si="12"/>
        <v>-7.2950551242855557E-3</v>
      </c>
      <c r="H76" s="3">
        <f t="shared" si="13"/>
        <v>0</v>
      </c>
      <c r="I76" s="3">
        <f t="shared" si="14"/>
        <v>-1.5988080548320655E-2</v>
      </c>
      <c r="J76" s="3">
        <f t="shared" si="15"/>
        <v>-2.7847247476582699E-2</v>
      </c>
      <c r="K76" s="14">
        <f t="shared" si="16"/>
        <v>-8.1847534589346328E-3</v>
      </c>
      <c r="L76" s="9">
        <v>0.2</v>
      </c>
      <c r="M76" s="2">
        <v>0.7</v>
      </c>
      <c r="N76" s="2">
        <v>0</v>
      </c>
      <c r="O76" s="2">
        <v>0.1</v>
      </c>
      <c r="P76" s="8">
        <v>0</v>
      </c>
      <c r="Q76" s="12">
        <f t="shared" si="9"/>
        <v>-3.1353850725064202E-4</v>
      </c>
      <c r="R76" s="3">
        <f t="shared" si="10"/>
        <v>2.9994007604897252E-4</v>
      </c>
      <c r="S76" s="14">
        <f t="shared" si="11"/>
        <v>1.7318778133834169E-2</v>
      </c>
    </row>
    <row r="77" spans="1:19" x14ac:dyDescent="0.35">
      <c r="A77" s="4">
        <v>43549</v>
      </c>
      <c r="B77" s="2">
        <v>42.52</v>
      </c>
      <c r="C77" s="2">
        <v>23.081151999999999</v>
      </c>
      <c r="D77" s="2">
        <v>38.575313999999999</v>
      </c>
      <c r="E77" s="2">
        <v>49.750244000000002</v>
      </c>
      <c r="F77" s="8">
        <v>1043.586182</v>
      </c>
      <c r="G77" s="12">
        <f t="shared" si="12"/>
        <v>4.2422877670279689E-3</v>
      </c>
      <c r="H77" s="3">
        <f t="shared" si="13"/>
        <v>-1.0090913160820421E-2</v>
      </c>
      <c r="I77" s="3">
        <f t="shared" si="14"/>
        <v>1.1698973066783625E-2</v>
      </c>
      <c r="J77" s="3">
        <f t="shared" si="15"/>
        <v>1.1388406184221118E-2</v>
      </c>
      <c r="K77" s="14">
        <f t="shared" si="16"/>
        <v>2.6660668892310771E-3</v>
      </c>
      <c r="L77" s="9">
        <v>0.1</v>
      </c>
      <c r="M77" s="2">
        <v>0.8</v>
      </c>
      <c r="N77" s="2">
        <v>0</v>
      </c>
      <c r="O77" s="2">
        <v>0.1</v>
      </c>
      <c r="P77" s="8">
        <v>0</v>
      </c>
      <c r="Q77" s="12">
        <f t="shared" si="9"/>
        <v>-2.1328231850122317E-4</v>
      </c>
      <c r="R77" s="3">
        <f t="shared" si="10"/>
        <v>3.1459538250892913E-4</v>
      </c>
      <c r="S77" s="14">
        <f t="shared" si="11"/>
        <v>1.7736836880033857E-2</v>
      </c>
    </row>
    <row r="78" spans="1:19" x14ac:dyDescent="0.35">
      <c r="A78" s="4">
        <v>43550</v>
      </c>
      <c r="B78" s="2">
        <v>41.400002000000001</v>
      </c>
      <c r="C78" s="2">
        <v>22.987518000000001</v>
      </c>
      <c r="D78" s="2">
        <v>38.643585000000002</v>
      </c>
      <c r="E78" s="2">
        <v>49.458843000000002</v>
      </c>
      <c r="F78" s="8">
        <v>1041.978638</v>
      </c>
      <c r="G78" s="12">
        <f t="shared" si="12"/>
        <v>-2.6693624333300983E-2</v>
      </c>
      <c r="H78" s="3">
        <f t="shared" si="13"/>
        <v>-4.0649807747658966E-3</v>
      </c>
      <c r="I78" s="3">
        <f t="shared" si="14"/>
        <v>1.7682463405377373E-3</v>
      </c>
      <c r="J78" s="3">
        <f t="shared" si="15"/>
        <v>-5.8744989360472967E-3</v>
      </c>
      <c r="K78" s="14">
        <f t="shared" si="16"/>
        <v>-1.5415913261916073E-3</v>
      </c>
      <c r="L78" s="9">
        <v>0</v>
      </c>
      <c r="M78" s="2">
        <v>0.9</v>
      </c>
      <c r="N78" s="2">
        <v>0</v>
      </c>
      <c r="O78" s="2">
        <v>0.1</v>
      </c>
      <c r="P78" s="8">
        <v>0</v>
      </c>
      <c r="Q78" s="12">
        <f t="shared" si="9"/>
        <v>-1.1302612975180436E-4</v>
      </c>
      <c r="R78" s="3">
        <f t="shared" si="10"/>
        <v>3.5381866905001607E-4</v>
      </c>
      <c r="S78" s="14">
        <f t="shared" si="11"/>
        <v>1.8810068289350151E-2</v>
      </c>
    </row>
    <row r="79" spans="1:19" x14ac:dyDescent="0.35">
      <c r="A79" s="4">
        <v>43551</v>
      </c>
      <c r="B79" s="2">
        <v>41.310001</v>
      </c>
      <c r="C79" s="2">
        <v>23.184152999999998</v>
      </c>
      <c r="D79" s="2">
        <v>39.501899999999999</v>
      </c>
      <c r="E79" s="2">
        <v>49.536555999999997</v>
      </c>
      <c r="F79" s="8">
        <v>1040.777832</v>
      </c>
      <c r="G79" s="12">
        <f t="shared" si="12"/>
        <v>-2.1763035245597182E-3</v>
      </c>
      <c r="H79" s="3">
        <f t="shared" si="13"/>
        <v>8.5176119710419895E-3</v>
      </c>
      <c r="I79" s="3">
        <f t="shared" si="14"/>
        <v>2.1967987472399118E-2</v>
      </c>
      <c r="J79" s="3">
        <f t="shared" si="15"/>
        <v>1.5700328853377487E-3</v>
      </c>
      <c r="K79" s="14">
        <f t="shared" si="16"/>
        <v>-1.1530931727718784E-3</v>
      </c>
      <c r="L79" s="9">
        <v>0.8</v>
      </c>
      <c r="M79" s="2">
        <v>0</v>
      </c>
      <c r="N79" s="2">
        <v>0.1</v>
      </c>
      <c r="O79" s="2">
        <v>0.1</v>
      </c>
      <c r="P79" s="8">
        <v>0</v>
      </c>
      <c r="Q79" s="12">
        <f t="shared" si="9"/>
        <v>-8.7058190656458527E-4</v>
      </c>
      <c r="R79" s="3">
        <f t="shared" si="10"/>
        <v>7.1418577077427827E-4</v>
      </c>
      <c r="S79" s="14">
        <f t="shared" si="11"/>
        <v>2.672425435394369E-2</v>
      </c>
    </row>
    <row r="80" spans="1:19" x14ac:dyDescent="0.35">
      <c r="A80" s="4">
        <v>43552</v>
      </c>
      <c r="B80" s="2">
        <v>40.590000000000003</v>
      </c>
      <c r="C80" s="2">
        <v>23.642966999999999</v>
      </c>
      <c r="D80" s="2">
        <v>39.443378000000003</v>
      </c>
      <c r="E80" s="2">
        <v>50.478718000000001</v>
      </c>
      <c r="F80" s="8">
        <v>1042.0083010000001</v>
      </c>
      <c r="G80" s="12">
        <f t="shared" si="12"/>
        <v>-1.7582894765080161E-2</v>
      </c>
      <c r="H80" s="3">
        <f t="shared" si="13"/>
        <v>1.9596707341256181E-2</v>
      </c>
      <c r="I80" s="3">
        <f t="shared" si="14"/>
        <v>-1.4825968620879384E-3</v>
      </c>
      <c r="J80" s="3">
        <f t="shared" si="15"/>
        <v>1.8840919649477133E-2</v>
      </c>
      <c r="K80" s="14">
        <f t="shared" si="16"/>
        <v>1.1815607216291708E-3</v>
      </c>
      <c r="L80" s="9">
        <v>0.7</v>
      </c>
      <c r="M80" s="2">
        <v>0.1</v>
      </c>
      <c r="N80" s="2">
        <v>0.1</v>
      </c>
      <c r="O80" s="2">
        <v>0.1</v>
      </c>
      <c r="P80" s="8">
        <v>0</v>
      </c>
      <c r="Q80" s="12">
        <f t="shared" si="9"/>
        <v>-7.7032571781516645E-4</v>
      </c>
      <c r="R80" s="3">
        <f t="shared" si="10"/>
        <v>5.7713950479026087E-4</v>
      </c>
      <c r="S80" s="14">
        <f t="shared" si="11"/>
        <v>2.402372795363494E-2</v>
      </c>
    </row>
    <row r="81" spans="1:19" x14ac:dyDescent="0.35">
      <c r="A81" s="4">
        <v>43553</v>
      </c>
      <c r="B81" s="2">
        <v>40.669998</v>
      </c>
      <c r="C81" s="2">
        <v>23.614874</v>
      </c>
      <c r="D81" s="2">
        <v>39.579932999999997</v>
      </c>
      <c r="E81" s="2">
        <v>50.430152999999997</v>
      </c>
      <c r="F81" s="8">
        <v>1041.3535159999999</v>
      </c>
      <c r="G81" s="12">
        <f t="shared" si="12"/>
        <v>1.9689398920285351E-3</v>
      </c>
      <c r="H81" s="3">
        <f t="shared" si="13"/>
        <v>-1.1889245346276432E-3</v>
      </c>
      <c r="I81" s="3">
        <f t="shared" si="14"/>
        <v>3.4560722448763567E-3</v>
      </c>
      <c r="J81" s="3">
        <f t="shared" si="15"/>
        <v>-9.6255172153591204E-4</v>
      </c>
      <c r="K81" s="14">
        <f t="shared" si="16"/>
        <v>-6.2858502658254766E-4</v>
      </c>
      <c r="L81" s="9">
        <v>0.6</v>
      </c>
      <c r="M81" s="2">
        <v>0.2</v>
      </c>
      <c r="N81" s="2">
        <v>0.1</v>
      </c>
      <c r="O81" s="2">
        <v>0.1</v>
      </c>
      <c r="P81" s="8">
        <v>0</v>
      </c>
      <c r="Q81" s="12">
        <f t="shared" si="9"/>
        <v>-6.7006952906574751E-4</v>
      </c>
      <c r="R81" s="3">
        <f t="shared" si="10"/>
        <v>4.646612188873741E-4</v>
      </c>
      <c r="S81" s="14">
        <f t="shared" si="11"/>
        <v>2.1556001922605549E-2</v>
      </c>
    </row>
    <row r="82" spans="1:19" x14ac:dyDescent="0.35">
      <c r="A82" s="4">
        <v>43556</v>
      </c>
      <c r="B82" s="2">
        <v>41.279998999999997</v>
      </c>
      <c r="C82" s="2">
        <v>23.811512</v>
      </c>
      <c r="D82" s="2">
        <v>40.135883</v>
      </c>
      <c r="E82" s="2">
        <v>50.925517999999997</v>
      </c>
      <c r="F82" s="8">
        <v>1041.492432</v>
      </c>
      <c r="G82" s="12">
        <f t="shared" si="12"/>
        <v>1.488742620566573E-2</v>
      </c>
      <c r="H82" s="3">
        <f t="shared" si="13"/>
        <v>8.2923934704426158E-3</v>
      </c>
      <c r="I82" s="3">
        <f t="shared" si="14"/>
        <v>1.3948524690145991E-2</v>
      </c>
      <c r="J82" s="3">
        <f t="shared" si="15"/>
        <v>9.7748638900232217E-3</v>
      </c>
      <c r="K82" s="14">
        <f t="shared" si="16"/>
        <v>1.3339056624842957E-4</v>
      </c>
      <c r="L82" s="9">
        <v>0.5</v>
      </c>
      <c r="M82" s="2">
        <v>0.3</v>
      </c>
      <c r="N82" s="2">
        <v>0.1</v>
      </c>
      <c r="O82" s="2">
        <v>0.1</v>
      </c>
      <c r="P82" s="8">
        <v>0</v>
      </c>
      <c r="Q82" s="12">
        <f t="shared" si="9"/>
        <v>-5.6981334031632879E-4</v>
      </c>
      <c r="R82" s="3">
        <f t="shared" si="10"/>
        <v>3.7675091306561782E-4</v>
      </c>
      <c r="S82" s="14">
        <f t="shared" si="11"/>
        <v>1.9410072464203162E-2</v>
      </c>
    </row>
    <row r="83" spans="1:19" x14ac:dyDescent="0.35">
      <c r="A83" s="4">
        <v>43557</v>
      </c>
      <c r="B83" s="2">
        <v>41.209999000000003</v>
      </c>
      <c r="C83" s="2">
        <v>23.671057000000001</v>
      </c>
      <c r="D83" s="2">
        <v>39.726233999999998</v>
      </c>
      <c r="E83" s="2">
        <v>50.274746</v>
      </c>
      <c r="F83" s="8">
        <v>1042.713013</v>
      </c>
      <c r="G83" s="12">
        <f t="shared" si="12"/>
        <v>-1.6971758637298433E-3</v>
      </c>
      <c r="H83" s="3">
        <f t="shared" si="13"/>
        <v>-5.9160830013481958E-3</v>
      </c>
      <c r="I83" s="3">
        <f t="shared" si="14"/>
        <v>-1.0258996586698679E-2</v>
      </c>
      <c r="J83" s="3">
        <f t="shared" si="15"/>
        <v>-1.286125044931883E-2</v>
      </c>
      <c r="K83" s="14">
        <f t="shared" si="16"/>
        <v>1.1712675854175813E-3</v>
      </c>
      <c r="L83" s="9">
        <v>0.4</v>
      </c>
      <c r="M83" s="2">
        <v>0.4</v>
      </c>
      <c r="N83" s="2">
        <v>0.1</v>
      </c>
      <c r="O83" s="2">
        <v>0.1</v>
      </c>
      <c r="P83" s="8">
        <v>0</v>
      </c>
      <c r="Q83" s="12">
        <f t="shared" si="9"/>
        <v>-4.6955715156691012E-4</v>
      </c>
      <c r="R83" s="3">
        <f t="shared" si="10"/>
        <v>3.1340858732499207E-4</v>
      </c>
      <c r="S83" s="14">
        <f t="shared" si="11"/>
        <v>1.7703349607489316E-2</v>
      </c>
    </row>
    <row r="84" spans="1:19" x14ac:dyDescent="0.35">
      <c r="A84" s="4">
        <v>43558</v>
      </c>
      <c r="B84" s="2">
        <v>41.68</v>
      </c>
      <c r="C84" s="2">
        <v>23.521238</v>
      </c>
      <c r="D84" s="2">
        <v>39.609192</v>
      </c>
      <c r="E84" s="2">
        <v>50.371872000000003</v>
      </c>
      <c r="F84" s="8">
        <v>1041.5419919999999</v>
      </c>
      <c r="G84" s="12">
        <f t="shared" si="12"/>
        <v>1.1340476360340489E-2</v>
      </c>
      <c r="H84" s="3">
        <f t="shared" si="13"/>
        <v>-6.3493205115361879E-3</v>
      </c>
      <c r="I84" s="3">
        <f t="shared" si="14"/>
        <v>-2.9505629657101168E-3</v>
      </c>
      <c r="J84" s="3">
        <f t="shared" si="15"/>
        <v>1.9300406129889789E-3</v>
      </c>
      <c r="K84" s="14">
        <f t="shared" si="16"/>
        <v>-1.1236831581625463E-3</v>
      </c>
      <c r="L84" s="9">
        <v>0.3</v>
      </c>
      <c r="M84" s="2">
        <v>0.5</v>
      </c>
      <c r="N84" s="2">
        <v>0.1</v>
      </c>
      <c r="O84" s="2">
        <v>0.1</v>
      </c>
      <c r="P84" s="8">
        <v>0</v>
      </c>
      <c r="Q84" s="12">
        <f t="shared" si="9"/>
        <v>-3.6930096281749113E-4</v>
      </c>
      <c r="R84" s="3">
        <f t="shared" si="10"/>
        <v>2.746342416654967E-4</v>
      </c>
      <c r="S84" s="14">
        <f t="shared" si="11"/>
        <v>1.6572092253710657E-2</v>
      </c>
    </row>
    <row r="85" spans="1:19" x14ac:dyDescent="0.35">
      <c r="A85" s="4">
        <v>43559</v>
      </c>
      <c r="B85" s="2">
        <v>41.740001999999997</v>
      </c>
      <c r="C85" s="2">
        <v>23.661694000000001</v>
      </c>
      <c r="D85" s="2">
        <v>40.194400999999999</v>
      </c>
      <c r="E85" s="2">
        <v>50.954655000000002</v>
      </c>
      <c r="F85" s="8">
        <v>1045.094482</v>
      </c>
      <c r="G85" s="12">
        <f t="shared" si="12"/>
        <v>1.4385521196103716E-3</v>
      </c>
      <c r="H85" s="3">
        <f t="shared" si="13"/>
        <v>5.9536959207692544E-3</v>
      </c>
      <c r="I85" s="3">
        <f t="shared" si="14"/>
        <v>1.4666494781248596E-2</v>
      </c>
      <c r="J85" s="3">
        <f t="shared" si="15"/>
        <v>1.1503195531611348E-2</v>
      </c>
      <c r="K85" s="14">
        <f t="shared" si="16"/>
        <v>3.4049950497455775E-3</v>
      </c>
      <c r="L85" s="9">
        <v>0.2</v>
      </c>
      <c r="M85" s="2">
        <v>0.6</v>
      </c>
      <c r="N85" s="2">
        <v>0.1</v>
      </c>
      <c r="O85" s="2">
        <v>0.1</v>
      </c>
      <c r="P85" s="8">
        <v>0</v>
      </c>
      <c r="Q85" s="12">
        <f t="shared" si="9"/>
        <v>-2.6904477406807241E-4</v>
      </c>
      <c r="R85" s="3">
        <f t="shared" si="10"/>
        <v>2.6042787608713186E-4</v>
      </c>
      <c r="S85" s="14">
        <f t="shared" si="11"/>
        <v>1.6137777916650477E-2</v>
      </c>
    </row>
    <row r="86" spans="1:19" x14ac:dyDescent="0.35">
      <c r="A86" s="4">
        <v>43560</v>
      </c>
      <c r="B86" s="2">
        <v>42.75</v>
      </c>
      <c r="C86" s="2">
        <v>23.905144</v>
      </c>
      <c r="D86" s="2">
        <v>41.072223999999999</v>
      </c>
      <c r="E86" s="2">
        <v>53.567467000000001</v>
      </c>
      <c r="F86" s="8">
        <v>1036.233154</v>
      </c>
      <c r="G86" s="12">
        <f t="shared" si="12"/>
        <v>2.3909245818047365E-2</v>
      </c>
      <c r="H86" s="3">
        <f t="shared" si="13"/>
        <v>1.0236212283918812E-2</v>
      </c>
      <c r="I86" s="3">
        <f t="shared" si="14"/>
        <v>2.1604370633232214E-2</v>
      </c>
      <c r="J86" s="3">
        <f t="shared" si="15"/>
        <v>5.0005805269653293E-2</v>
      </c>
      <c r="K86" s="14">
        <f t="shared" si="16"/>
        <v>-8.5151240864454452E-3</v>
      </c>
      <c r="L86" s="9">
        <v>0.1</v>
      </c>
      <c r="M86" s="2">
        <v>0.7</v>
      </c>
      <c r="N86" s="2">
        <v>0.1</v>
      </c>
      <c r="O86" s="2">
        <v>0.1</v>
      </c>
      <c r="P86" s="8">
        <v>0</v>
      </c>
      <c r="Q86" s="12">
        <f t="shared" si="9"/>
        <v>-1.6878858531865356E-4</v>
      </c>
      <c r="R86" s="3">
        <f t="shared" si="10"/>
        <v>2.7078949058989749E-4</v>
      </c>
      <c r="S86" s="14">
        <f t="shared" si="11"/>
        <v>1.6455682623030182E-2</v>
      </c>
    </row>
    <row r="87" spans="1:19" x14ac:dyDescent="0.35">
      <c r="A87" s="4">
        <v>43563</v>
      </c>
      <c r="B87" s="2">
        <v>44.060001</v>
      </c>
      <c r="C87" s="2">
        <v>24.373325000000001</v>
      </c>
      <c r="D87" s="2">
        <v>40.935673000000001</v>
      </c>
      <c r="E87" s="2">
        <v>54.801025000000003</v>
      </c>
      <c r="F87" s="8">
        <v>1025.8336179999999</v>
      </c>
      <c r="G87" s="12">
        <f t="shared" si="12"/>
        <v>3.0183168687750707E-2</v>
      </c>
      <c r="H87" s="3">
        <f t="shared" si="13"/>
        <v>1.9395630669699071E-2</v>
      </c>
      <c r="I87" s="3">
        <f t="shared" si="14"/>
        <v>-3.330194559143134E-3</v>
      </c>
      <c r="J87" s="3">
        <f t="shared" si="15"/>
        <v>2.2766973311229684E-2</v>
      </c>
      <c r="K87" s="14">
        <f t="shared" si="16"/>
        <v>-1.0086602734120768E-2</v>
      </c>
      <c r="L87" s="9">
        <v>0</v>
      </c>
      <c r="M87" s="2">
        <v>0.8</v>
      </c>
      <c r="N87" s="2">
        <v>0.1</v>
      </c>
      <c r="O87" s="2">
        <v>0.1</v>
      </c>
      <c r="P87" s="8">
        <v>0</v>
      </c>
      <c r="Q87" s="12">
        <f t="shared" si="9"/>
        <v>-6.8532396569234754E-5</v>
      </c>
      <c r="R87" s="3">
        <f t="shared" si="10"/>
        <v>3.0571908517379372E-4</v>
      </c>
      <c r="S87" s="14">
        <f t="shared" si="11"/>
        <v>1.7484824425020508E-2</v>
      </c>
    </row>
    <row r="88" spans="1:19" x14ac:dyDescent="0.35">
      <c r="A88" s="4">
        <v>43564</v>
      </c>
      <c r="B88" s="2">
        <v>45.220001000000003</v>
      </c>
      <c r="C88" s="2">
        <v>24.588685999999999</v>
      </c>
      <c r="D88" s="2">
        <v>39.960320000000003</v>
      </c>
      <c r="E88" s="2">
        <v>53.95599</v>
      </c>
      <c r="F88" s="8">
        <v>1015.673096</v>
      </c>
      <c r="G88" s="12">
        <f t="shared" si="12"/>
        <v>2.5987124893412414E-2</v>
      </c>
      <c r="H88" s="3">
        <f t="shared" si="13"/>
        <v>8.7971218700793486E-3</v>
      </c>
      <c r="I88" s="3">
        <f t="shared" si="14"/>
        <v>-2.4114921635636367E-2</v>
      </c>
      <c r="J88" s="3">
        <f t="shared" si="15"/>
        <v>-1.5540183887390974E-2</v>
      </c>
      <c r="K88" s="14">
        <f t="shared" si="16"/>
        <v>-9.95402643005148E-3</v>
      </c>
      <c r="L88" s="9">
        <v>0.7</v>
      </c>
      <c r="M88" s="2">
        <v>0</v>
      </c>
      <c r="N88" s="2">
        <v>0.2</v>
      </c>
      <c r="O88" s="2">
        <v>0.1</v>
      </c>
      <c r="P88" s="8">
        <v>0</v>
      </c>
      <c r="Q88" s="12">
        <f t="shared" si="9"/>
        <v>-7.2583198463259673E-4</v>
      </c>
      <c r="R88" s="3">
        <f t="shared" si="10"/>
        <v>5.7329429858431538E-4</v>
      </c>
      <c r="S88" s="14">
        <f t="shared" si="11"/>
        <v>2.3943564867920469E-2</v>
      </c>
    </row>
    <row r="89" spans="1:19" x14ac:dyDescent="0.35">
      <c r="A89" s="4">
        <v>43565</v>
      </c>
      <c r="B89" s="2">
        <v>44.950001</v>
      </c>
      <c r="C89" s="2">
        <v>25.815311000000001</v>
      </c>
      <c r="D89" s="2">
        <v>40.389473000000002</v>
      </c>
      <c r="E89" s="2">
        <v>52.965255999999997</v>
      </c>
      <c r="F89" s="8">
        <v>1015.553528</v>
      </c>
      <c r="G89" s="12">
        <f t="shared" si="12"/>
        <v>-5.9887057993623823E-3</v>
      </c>
      <c r="H89" s="3">
        <f t="shared" si="13"/>
        <v>4.8681347074304375E-2</v>
      </c>
      <c r="I89" s="3">
        <f t="shared" si="14"/>
        <v>1.0682219949796524E-2</v>
      </c>
      <c r="J89" s="3">
        <f t="shared" si="15"/>
        <v>-1.8532562853903301E-2</v>
      </c>
      <c r="K89" s="14">
        <f t="shared" si="16"/>
        <v>-1.1772984730048343E-4</v>
      </c>
      <c r="L89" s="9">
        <v>0.6</v>
      </c>
      <c r="M89" s="2">
        <v>0.1</v>
      </c>
      <c r="N89" s="2">
        <v>0.2</v>
      </c>
      <c r="O89" s="2">
        <v>0.1</v>
      </c>
      <c r="P89" s="8">
        <v>0</v>
      </c>
      <c r="Q89" s="12">
        <f t="shared" si="9"/>
        <v>-6.255757958831779E-4</v>
      </c>
      <c r="R89" s="3">
        <f t="shared" si="10"/>
        <v>4.5652232072423781E-4</v>
      </c>
      <c r="S89" s="14">
        <f t="shared" si="11"/>
        <v>2.1366382958382026E-2</v>
      </c>
    </row>
    <row r="90" spans="1:19" x14ac:dyDescent="0.35">
      <c r="A90" s="4">
        <v>43566</v>
      </c>
      <c r="B90" s="2">
        <v>44.68</v>
      </c>
      <c r="C90" s="2">
        <v>24.888317000000001</v>
      </c>
      <c r="D90" s="2">
        <v>39.657958999999998</v>
      </c>
      <c r="E90" s="2">
        <v>52.567024000000004</v>
      </c>
      <c r="F90" s="8">
        <v>1025.7479249999999</v>
      </c>
      <c r="G90" s="12">
        <f t="shared" si="12"/>
        <v>-6.024808963570113E-3</v>
      </c>
      <c r="H90" s="3">
        <f t="shared" si="13"/>
        <v>-3.6569268942131979E-2</v>
      </c>
      <c r="I90" s="3">
        <f t="shared" si="14"/>
        <v>-1.8277522369340566E-2</v>
      </c>
      <c r="J90" s="3">
        <f t="shared" si="15"/>
        <v>-7.5471484223496622E-3</v>
      </c>
      <c r="K90" s="14">
        <f t="shared" si="16"/>
        <v>9.9882177991061569E-3</v>
      </c>
      <c r="L90" s="9">
        <v>0.5</v>
      </c>
      <c r="M90" s="2">
        <v>0.2</v>
      </c>
      <c r="N90" s="2">
        <v>0.2</v>
      </c>
      <c r="O90" s="2">
        <v>0.1</v>
      </c>
      <c r="P90" s="8">
        <v>0</v>
      </c>
      <c r="Q90" s="12">
        <f t="shared" si="9"/>
        <v>-5.2531960713375918E-4</v>
      </c>
      <c r="R90" s="3">
        <f t="shared" si="10"/>
        <v>3.643183229452906E-4</v>
      </c>
      <c r="S90" s="14">
        <f t="shared" si="11"/>
        <v>1.9087124533184421E-2</v>
      </c>
    </row>
    <row r="91" spans="1:19" x14ac:dyDescent="0.35">
      <c r="A91" s="4">
        <v>43567</v>
      </c>
      <c r="B91" s="2">
        <v>45</v>
      </c>
      <c r="C91" s="2">
        <v>25.075589999999998</v>
      </c>
      <c r="D91" s="2">
        <v>39.287323000000001</v>
      </c>
      <c r="E91" s="2">
        <v>52.683582000000001</v>
      </c>
      <c r="F91" s="8">
        <v>1017.068237</v>
      </c>
      <c r="G91" s="12">
        <f t="shared" si="12"/>
        <v>7.1365155693198035E-3</v>
      </c>
      <c r="H91" s="3">
        <f t="shared" si="13"/>
        <v>7.4963664066934575E-3</v>
      </c>
      <c r="I91" s="3">
        <f t="shared" si="14"/>
        <v>-9.3897624729769487E-3</v>
      </c>
      <c r="J91" s="3">
        <f t="shared" si="15"/>
        <v>2.2148670127230203E-3</v>
      </c>
      <c r="K91" s="14">
        <f t="shared" si="16"/>
        <v>-8.4978182506352338E-3</v>
      </c>
      <c r="L91" s="9">
        <v>0.4</v>
      </c>
      <c r="M91" s="2">
        <v>0.3</v>
      </c>
      <c r="N91" s="2">
        <v>0.2</v>
      </c>
      <c r="O91" s="2">
        <v>0.1</v>
      </c>
      <c r="P91" s="8">
        <v>0</v>
      </c>
      <c r="Q91" s="12">
        <f t="shared" si="9"/>
        <v>-4.2506341838434046E-4</v>
      </c>
      <c r="R91" s="3">
        <f t="shared" si="10"/>
        <v>2.9668230524747393E-4</v>
      </c>
      <c r="S91" s="14">
        <f t="shared" si="11"/>
        <v>1.7224468213778734E-2</v>
      </c>
    </row>
    <row r="92" spans="1:19" x14ac:dyDescent="0.35">
      <c r="A92" s="4">
        <v>43570</v>
      </c>
      <c r="B92" s="2">
        <v>45.189999</v>
      </c>
      <c r="C92" s="2">
        <v>25.047497</v>
      </c>
      <c r="D92" s="2">
        <v>39.014225000000003</v>
      </c>
      <c r="E92" s="2">
        <v>53.110954</v>
      </c>
      <c r="F92" s="8">
        <v>1012.952576</v>
      </c>
      <c r="G92" s="12">
        <f t="shared" si="12"/>
        <v>4.213311524078822E-3</v>
      </c>
      <c r="H92" s="3">
        <f t="shared" si="13"/>
        <v>-1.1209606041101042E-3</v>
      </c>
      <c r="I92" s="3">
        <f t="shared" si="14"/>
        <v>-6.9755736471584836E-3</v>
      </c>
      <c r="J92" s="3">
        <f t="shared" si="15"/>
        <v>8.0793269841791752E-3</v>
      </c>
      <c r="K92" s="14">
        <f t="shared" si="16"/>
        <v>-4.0548024065425138E-3</v>
      </c>
      <c r="L92" s="9">
        <v>0.3</v>
      </c>
      <c r="M92" s="2">
        <v>0.4</v>
      </c>
      <c r="N92" s="2">
        <v>0.2</v>
      </c>
      <c r="O92" s="2">
        <v>0.1</v>
      </c>
      <c r="P92" s="8">
        <v>0</v>
      </c>
      <c r="Q92" s="12">
        <f t="shared" si="9"/>
        <v>-3.2480722963492157E-4</v>
      </c>
      <c r="R92" s="3">
        <f t="shared" si="10"/>
        <v>2.5361426763078774E-4</v>
      </c>
      <c r="S92" s="14">
        <f t="shared" si="11"/>
        <v>1.5925271351873029E-2</v>
      </c>
    </row>
    <row r="93" spans="1:19" x14ac:dyDescent="0.35">
      <c r="A93" s="4">
        <v>43571</v>
      </c>
      <c r="B93" s="2">
        <v>45.509998000000003</v>
      </c>
      <c r="C93" s="2">
        <v>25.056861999999999</v>
      </c>
      <c r="D93" s="2">
        <v>39.462887000000002</v>
      </c>
      <c r="E93" s="2">
        <v>53.887999999999998</v>
      </c>
      <c r="F93" s="8">
        <v>1013.769714</v>
      </c>
      <c r="G93" s="12">
        <f t="shared" si="12"/>
        <v>7.0562367877657645E-3</v>
      </c>
      <c r="H93" s="3">
        <f t="shared" si="13"/>
        <v>3.7381977520379922E-4</v>
      </c>
      <c r="I93" s="3">
        <f t="shared" si="14"/>
        <v>1.1434337397993852E-2</v>
      </c>
      <c r="J93" s="3">
        <f t="shared" si="15"/>
        <v>1.4524621627996122E-2</v>
      </c>
      <c r="K93" s="14">
        <f t="shared" si="16"/>
        <v>8.0636409665857107E-4</v>
      </c>
      <c r="L93" s="9">
        <v>0.2</v>
      </c>
      <c r="M93" s="2">
        <v>0.5</v>
      </c>
      <c r="N93" s="2">
        <v>0.2</v>
      </c>
      <c r="O93" s="2">
        <v>0.1</v>
      </c>
      <c r="P93" s="8">
        <v>0</v>
      </c>
      <c r="Q93" s="12">
        <f t="shared" si="9"/>
        <v>-2.2455104088550277E-4</v>
      </c>
      <c r="R93" s="3">
        <f t="shared" si="10"/>
        <v>2.3511421009523198E-4</v>
      </c>
      <c r="S93" s="14">
        <f t="shared" si="11"/>
        <v>1.5333434386830368E-2</v>
      </c>
    </row>
    <row r="94" spans="1:19" x14ac:dyDescent="0.35">
      <c r="A94" s="4">
        <v>43572</v>
      </c>
      <c r="B94" s="2">
        <v>44.849997999999999</v>
      </c>
      <c r="C94" s="2">
        <v>24.813410000000001</v>
      </c>
      <c r="D94" s="2">
        <v>39.521408000000001</v>
      </c>
      <c r="E94" s="2">
        <v>53.868575999999997</v>
      </c>
      <c r="F94" s="8">
        <v>1017.586426</v>
      </c>
      <c r="G94" s="12">
        <f t="shared" si="12"/>
        <v>-1.460849417044824E-2</v>
      </c>
      <c r="H94" s="3">
        <f t="shared" si="13"/>
        <v>-9.7634893161774351E-3</v>
      </c>
      <c r="I94" s="3">
        <f t="shared" si="14"/>
        <v>1.4818391607749287E-3</v>
      </c>
      <c r="J94" s="3">
        <f t="shared" si="15"/>
        <v>-3.6051628460019905E-4</v>
      </c>
      <c r="K94" s="14">
        <f t="shared" si="16"/>
        <v>3.7578014176651107E-3</v>
      </c>
      <c r="L94" s="9">
        <v>0.1</v>
      </c>
      <c r="M94" s="2">
        <v>0.6</v>
      </c>
      <c r="N94" s="2">
        <v>0.2</v>
      </c>
      <c r="O94" s="2">
        <v>0.1</v>
      </c>
      <c r="P94" s="8">
        <v>0</v>
      </c>
      <c r="Q94" s="12">
        <f t="shared" si="9"/>
        <v>-1.2429485213608394E-4</v>
      </c>
      <c r="R94" s="3">
        <f t="shared" si="10"/>
        <v>2.4118213264080675E-4</v>
      </c>
      <c r="S94" s="14">
        <f t="shared" si="11"/>
        <v>1.5530039685744745E-2</v>
      </c>
    </row>
    <row r="95" spans="1:19" x14ac:dyDescent="0.35">
      <c r="A95" s="4">
        <v>43577</v>
      </c>
      <c r="B95" s="2">
        <v>44.240001999999997</v>
      </c>
      <c r="C95" s="2">
        <v>24.607412</v>
      </c>
      <c r="D95" s="2">
        <v>39.521408000000001</v>
      </c>
      <c r="E95" s="2">
        <v>54.820450000000001</v>
      </c>
      <c r="F95" s="8">
        <v>1010.172241</v>
      </c>
      <c r="G95" s="12">
        <f t="shared" si="12"/>
        <v>-1.3694141489681145E-2</v>
      </c>
      <c r="H95" s="3">
        <f t="shared" si="13"/>
        <v>-8.336534468517013E-3</v>
      </c>
      <c r="I95" s="3">
        <f t="shared" si="14"/>
        <v>0</v>
      </c>
      <c r="J95" s="3">
        <f t="shared" si="15"/>
        <v>1.75159971886499E-2</v>
      </c>
      <c r="K95" s="14">
        <f t="shared" si="16"/>
        <v>-7.3127223280100252E-3</v>
      </c>
      <c r="L95" s="9">
        <v>0</v>
      </c>
      <c r="M95" s="2">
        <v>0.7</v>
      </c>
      <c r="N95" s="2">
        <v>0.2</v>
      </c>
      <c r="O95" s="2">
        <v>0.1</v>
      </c>
      <c r="P95" s="8">
        <v>0</v>
      </c>
      <c r="Q95" s="12">
        <f t="shared" si="9"/>
        <v>-2.4038663386665119E-5</v>
      </c>
      <c r="R95" s="3">
        <f t="shared" si="10"/>
        <v>2.7181803526751195E-4</v>
      </c>
      <c r="S95" s="14">
        <f t="shared" si="11"/>
        <v>1.6486904963258324E-2</v>
      </c>
    </row>
    <row r="96" spans="1:19" x14ac:dyDescent="0.35">
      <c r="A96" s="4">
        <v>43578</v>
      </c>
      <c r="B96" s="2">
        <v>44.369999</v>
      </c>
      <c r="C96" s="2">
        <v>24.523140000000001</v>
      </c>
      <c r="D96" s="2">
        <v>39.667709000000002</v>
      </c>
      <c r="E96" s="2">
        <v>54.273125</v>
      </c>
      <c r="F96" s="8">
        <v>1009.375061</v>
      </c>
      <c r="G96" s="12">
        <f t="shared" si="12"/>
        <v>2.9341404310323396E-3</v>
      </c>
      <c r="H96" s="3">
        <f t="shared" si="13"/>
        <v>-3.4305367725897145E-3</v>
      </c>
      <c r="I96" s="3">
        <f t="shared" si="14"/>
        <v>3.6949816337155305E-3</v>
      </c>
      <c r="J96" s="3">
        <f t="shared" si="15"/>
        <v>-1.0034130648323786E-2</v>
      </c>
      <c r="K96" s="14">
        <f t="shared" si="16"/>
        <v>-7.8946409486361645E-4</v>
      </c>
      <c r="L96" s="9">
        <v>0.6</v>
      </c>
      <c r="M96" s="2">
        <v>0</v>
      </c>
      <c r="N96" s="2">
        <v>0.3</v>
      </c>
      <c r="O96" s="2">
        <v>0.1</v>
      </c>
      <c r="P96" s="8">
        <v>0</v>
      </c>
      <c r="Q96" s="12">
        <f t="shared" si="9"/>
        <v>-5.8108206270060829E-4</v>
      </c>
      <c r="R96" s="3">
        <f t="shared" si="10"/>
        <v>4.6258195653104225E-4</v>
      </c>
      <c r="S96" s="14">
        <f t="shared" si="11"/>
        <v>2.1507718533843662E-2</v>
      </c>
    </row>
    <row r="97" spans="1:19" x14ac:dyDescent="0.35">
      <c r="A97" s="4">
        <v>43579</v>
      </c>
      <c r="B97" s="2">
        <v>43.009998000000003</v>
      </c>
      <c r="C97" s="2">
        <v>24.382688999999999</v>
      </c>
      <c r="D97" s="2">
        <v>40.135883</v>
      </c>
      <c r="E97" s="2">
        <v>54.312224999999998</v>
      </c>
      <c r="F97" s="8">
        <v>1007.56134</v>
      </c>
      <c r="G97" s="12">
        <f t="shared" si="12"/>
        <v>-3.1130942558236934E-2</v>
      </c>
      <c r="H97" s="3">
        <f t="shared" si="13"/>
        <v>-5.7437483016816457E-3</v>
      </c>
      <c r="I97" s="3">
        <f t="shared" si="14"/>
        <v>1.1733290679902995E-2</v>
      </c>
      <c r="J97" s="3">
        <f t="shared" si="15"/>
        <v>7.2017084606577691E-4</v>
      </c>
      <c r="K97" s="14">
        <f t="shared" si="16"/>
        <v>-1.7984915022456146E-3</v>
      </c>
      <c r="L97" s="9">
        <v>0.5</v>
      </c>
      <c r="M97" s="2">
        <v>0.1</v>
      </c>
      <c r="N97" s="2">
        <v>0.3</v>
      </c>
      <c r="O97" s="2">
        <v>0.1</v>
      </c>
      <c r="P97" s="8">
        <v>0</v>
      </c>
      <c r="Q97" s="12">
        <f t="shared" si="9"/>
        <v>-4.8082587395118962E-4</v>
      </c>
      <c r="R97" s="3">
        <f t="shared" si="10"/>
        <v>3.6608426679490423E-4</v>
      </c>
      <c r="S97" s="14">
        <f t="shared" si="11"/>
        <v>1.9133328690923181E-2</v>
      </c>
    </row>
    <row r="98" spans="1:19" x14ac:dyDescent="0.35">
      <c r="A98" s="4">
        <v>43580</v>
      </c>
      <c r="B98" s="2">
        <v>42.82</v>
      </c>
      <c r="C98" s="2">
        <v>24.298416</v>
      </c>
      <c r="D98" s="2">
        <v>40.613807999999999</v>
      </c>
      <c r="E98" s="2">
        <v>54.488143999999998</v>
      </c>
      <c r="F98" s="8">
        <v>1005.378967</v>
      </c>
      <c r="G98" s="12">
        <f t="shared" si="12"/>
        <v>-4.4273171332934449E-3</v>
      </c>
      <c r="H98" s="3">
        <f t="shared" si="13"/>
        <v>-3.4622502584084557E-3</v>
      </c>
      <c r="I98" s="3">
        <f t="shared" si="14"/>
        <v>1.1837335220456888E-2</v>
      </c>
      <c r="J98" s="3">
        <f t="shared" si="15"/>
        <v>3.233796997604314E-3</v>
      </c>
      <c r="K98" s="14">
        <f t="shared" si="16"/>
        <v>-2.1683443343905569E-3</v>
      </c>
      <c r="L98" s="9">
        <v>0.4</v>
      </c>
      <c r="M98" s="2">
        <v>0.2</v>
      </c>
      <c r="N98" s="2">
        <v>0.3</v>
      </c>
      <c r="O98" s="2">
        <v>0.1</v>
      </c>
      <c r="P98" s="8">
        <v>0</v>
      </c>
      <c r="Q98" s="12">
        <f t="shared" si="9"/>
        <v>-3.8056968520177079E-4</v>
      </c>
      <c r="R98" s="3">
        <f t="shared" si="10"/>
        <v>2.9415455713989669E-4</v>
      </c>
      <c r="S98" s="14">
        <f t="shared" si="11"/>
        <v>1.7150934585027623E-2</v>
      </c>
    </row>
    <row r="99" spans="1:19" x14ac:dyDescent="0.35">
      <c r="A99" s="4">
        <v>43581</v>
      </c>
      <c r="B99" s="2">
        <v>42.389999000000003</v>
      </c>
      <c r="C99" s="2">
        <v>24.214144000000001</v>
      </c>
      <c r="D99" s="2">
        <v>41.052714999999999</v>
      </c>
      <c r="E99" s="2">
        <v>54.585884</v>
      </c>
      <c r="F99" s="8">
        <v>1006.554871</v>
      </c>
      <c r="G99" s="12">
        <f t="shared" si="12"/>
        <v>-1.0092821387460624E-2</v>
      </c>
      <c r="H99" s="3">
        <f t="shared" si="13"/>
        <v>-3.4742377959800048E-3</v>
      </c>
      <c r="I99" s="3">
        <f t="shared" si="14"/>
        <v>1.074886525695307E-2</v>
      </c>
      <c r="J99" s="3">
        <f t="shared" si="15"/>
        <v>1.7921778071850337E-3</v>
      </c>
      <c r="K99" s="14">
        <f t="shared" si="16"/>
        <v>1.168929227876407E-3</v>
      </c>
      <c r="L99" s="9">
        <v>0.3</v>
      </c>
      <c r="M99" s="2">
        <v>0.3</v>
      </c>
      <c r="N99" s="2">
        <v>0.3</v>
      </c>
      <c r="O99" s="2">
        <v>0.1</v>
      </c>
      <c r="P99" s="8">
        <v>0</v>
      </c>
      <c r="Q99" s="12">
        <f t="shared" si="9"/>
        <v>-2.8031349645235196E-4</v>
      </c>
      <c r="R99" s="3">
        <f t="shared" si="10"/>
        <v>2.4679282756601953E-4</v>
      </c>
      <c r="S99" s="14">
        <f t="shared" si="11"/>
        <v>1.570964122970412E-2</v>
      </c>
    </row>
    <row r="100" spans="1:19" x14ac:dyDescent="0.35">
      <c r="A100" s="4">
        <v>43584</v>
      </c>
      <c r="B100" s="2">
        <v>42.380001</v>
      </c>
      <c r="C100" s="2">
        <v>24.026871</v>
      </c>
      <c r="D100" s="2">
        <v>40.769863000000001</v>
      </c>
      <c r="E100" s="2">
        <v>55.582797999999997</v>
      </c>
      <c r="F100" s="8">
        <v>1007.252441</v>
      </c>
      <c r="G100" s="12">
        <f t="shared" si="12"/>
        <v>-2.3588533788750581E-4</v>
      </c>
      <c r="H100" s="3">
        <f t="shared" si="13"/>
        <v>-7.7640962053691356E-3</v>
      </c>
      <c r="I100" s="3">
        <f t="shared" si="14"/>
        <v>-6.9138160548545173E-3</v>
      </c>
      <c r="J100" s="3">
        <f t="shared" si="15"/>
        <v>1.8098450370393173E-2</v>
      </c>
      <c r="K100" s="14">
        <f t="shared" si="16"/>
        <v>6.9278726295545076E-4</v>
      </c>
      <c r="L100" s="9">
        <v>0.2</v>
      </c>
      <c r="M100" s="2">
        <v>0.4</v>
      </c>
      <c r="N100" s="2">
        <v>0.3</v>
      </c>
      <c r="O100" s="2">
        <v>0.1</v>
      </c>
      <c r="P100" s="8">
        <v>0</v>
      </c>
      <c r="Q100" s="12">
        <f t="shared" si="9"/>
        <v>-1.8005730770293311E-4</v>
      </c>
      <c r="R100" s="3">
        <f t="shared" si="10"/>
        <v>2.2399907807327295E-4</v>
      </c>
      <c r="S100" s="14">
        <f t="shared" si="11"/>
        <v>1.4966598747653822E-2</v>
      </c>
    </row>
    <row r="101" spans="1:19" x14ac:dyDescent="0.35">
      <c r="A101" s="4">
        <v>43585</v>
      </c>
      <c r="B101" s="2">
        <v>42.380001</v>
      </c>
      <c r="C101" s="2">
        <v>23.689782999999998</v>
      </c>
      <c r="D101" s="2">
        <v>41.179516</v>
      </c>
      <c r="E101" s="2">
        <v>54.449055000000001</v>
      </c>
      <c r="F101" s="8">
        <v>1004.920532</v>
      </c>
      <c r="G101" s="12">
        <f t="shared" si="12"/>
        <v>0</v>
      </c>
      <c r="H101" s="3">
        <f t="shared" si="13"/>
        <v>-1.4128970889695966E-2</v>
      </c>
      <c r="I101" s="3">
        <f t="shared" si="14"/>
        <v>9.9977917407226748E-3</v>
      </c>
      <c r="J101" s="3">
        <f t="shared" si="15"/>
        <v>-2.0608271040372921E-2</v>
      </c>
      <c r="K101" s="14">
        <f t="shared" si="16"/>
        <v>-2.3178027686972824E-3</v>
      </c>
      <c r="L101" s="9">
        <v>0.1</v>
      </c>
      <c r="M101" s="2">
        <v>0.5</v>
      </c>
      <c r="N101" s="2">
        <v>0.3</v>
      </c>
      <c r="O101" s="2">
        <v>0.1</v>
      </c>
      <c r="P101" s="8">
        <v>0</v>
      </c>
      <c r="Q101" s="12">
        <f t="shared" si="9"/>
        <v>-7.9801118953514347E-5</v>
      </c>
      <c r="R101" s="3">
        <f t="shared" si="10"/>
        <v>2.257733086616568E-4</v>
      </c>
      <c r="S101" s="14">
        <f t="shared" si="11"/>
        <v>1.5025754844987216E-2</v>
      </c>
    </row>
    <row r="102" spans="1:19" x14ac:dyDescent="0.35">
      <c r="A102" s="4">
        <v>43587</v>
      </c>
      <c r="B102" s="2">
        <v>42.57</v>
      </c>
      <c r="C102" s="2">
        <v>23.408875999999999</v>
      </c>
      <c r="D102" s="2">
        <v>41.540393999999999</v>
      </c>
      <c r="E102" s="2">
        <v>54.703170999999998</v>
      </c>
      <c r="F102" s="8">
        <v>1052.8237300000001</v>
      </c>
      <c r="G102" s="12">
        <f t="shared" si="12"/>
        <v>4.4732034038723707E-3</v>
      </c>
      <c r="H102" s="3">
        <f t="shared" si="13"/>
        <v>-1.1928591464871701E-2</v>
      </c>
      <c r="I102" s="3">
        <f t="shared" si="14"/>
        <v>8.7253549845977864E-3</v>
      </c>
      <c r="J102" s="3">
        <f t="shared" si="15"/>
        <v>4.6561846407770328E-3</v>
      </c>
      <c r="K102" s="14">
        <f t="shared" si="16"/>
        <v>4.6567355480695849E-2</v>
      </c>
      <c r="L102" s="9">
        <v>0</v>
      </c>
      <c r="M102" s="2">
        <v>0.6</v>
      </c>
      <c r="N102" s="2">
        <v>0.3</v>
      </c>
      <c r="O102" s="2">
        <v>0.1</v>
      </c>
      <c r="P102" s="8">
        <v>0</v>
      </c>
      <c r="Q102" s="12">
        <f t="shared" si="9"/>
        <v>2.0455069795904479E-5</v>
      </c>
      <c r="R102" s="3">
        <f t="shared" si="10"/>
        <v>2.5211551933117119E-4</v>
      </c>
      <c r="S102" s="14">
        <f t="shared" si="11"/>
        <v>1.5878145966427289E-2</v>
      </c>
    </row>
    <row r="103" spans="1:19" x14ac:dyDescent="0.35">
      <c r="A103" s="4">
        <v>43588</v>
      </c>
      <c r="B103" s="2">
        <v>43.52</v>
      </c>
      <c r="C103" s="2">
        <v>23.343333999999999</v>
      </c>
      <c r="D103" s="2">
        <v>41.832999999999998</v>
      </c>
      <c r="E103" s="2">
        <v>54.136294999999997</v>
      </c>
      <c r="F103" s="8">
        <v>1047.5720209999999</v>
      </c>
      <c r="G103" s="12">
        <f t="shared" si="12"/>
        <v>2.2070822707626357E-2</v>
      </c>
      <c r="H103" s="3">
        <f t="shared" si="13"/>
        <v>-2.8038051222490099E-3</v>
      </c>
      <c r="I103" s="3">
        <f t="shared" si="14"/>
        <v>7.0191985076125622E-3</v>
      </c>
      <c r="J103" s="3">
        <f t="shared" si="15"/>
        <v>-1.0416830343208425E-2</v>
      </c>
      <c r="K103" s="14">
        <f t="shared" si="16"/>
        <v>-5.0006956466182549E-3</v>
      </c>
      <c r="L103" s="9">
        <v>0.5</v>
      </c>
      <c r="M103" s="2">
        <v>0</v>
      </c>
      <c r="N103" s="2">
        <v>0.4</v>
      </c>
      <c r="O103" s="2">
        <v>0.1</v>
      </c>
      <c r="P103" s="8">
        <v>0</v>
      </c>
      <c r="Q103" s="12">
        <f t="shared" si="9"/>
        <v>-4.3633214076862001E-4</v>
      </c>
      <c r="R103" s="3">
        <f t="shared" si="10"/>
        <v>3.820487446144587E-4</v>
      </c>
      <c r="S103" s="14">
        <f t="shared" si="11"/>
        <v>1.9546067241633512E-2</v>
      </c>
    </row>
    <row r="104" spans="1:19" x14ac:dyDescent="0.35">
      <c r="A104" s="4">
        <v>43591</v>
      </c>
      <c r="B104" s="2">
        <v>42.869999</v>
      </c>
      <c r="C104" s="2">
        <v>23.034336</v>
      </c>
      <c r="D104" s="2">
        <v>41.969551000000003</v>
      </c>
      <c r="E104" s="2">
        <v>54.234039000000003</v>
      </c>
      <c r="F104" s="8">
        <v>1057.746582</v>
      </c>
      <c r="G104" s="12">
        <f t="shared" si="12"/>
        <v>-1.5048345264137276E-2</v>
      </c>
      <c r="H104" s="3">
        <f t="shared" si="13"/>
        <v>-1.3325489286115048E-2</v>
      </c>
      <c r="I104" s="3">
        <f t="shared" si="14"/>
        <v>3.2588774260779983E-3</v>
      </c>
      <c r="J104" s="3">
        <f t="shared" si="15"/>
        <v>1.8038889961350809E-3</v>
      </c>
      <c r="K104" s="14">
        <f t="shared" si="16"/>
        <v>9.6656536435451267E-3</v>
      </c>
      <c r="L104" s="9">
        <v>0.4</v>
      </c>
      <c r="M104" s="2">
        <v>0.1</v>
      </c>
      <c r="N104" s="2">
        <v>0.4</v>
      </c>
      <c r="O104" s="2">
        <v>0.1</v>
      </c>
      <c r="P104" s="8">
        <v>0</v>
      </c>
      <c r="Q104" s="12">
        <f t="shared" si="9"/>
        <v>-3.3607595201920118E-4</v>
      </c>
      <c r="R104" s="3">
        <f t="shared" si="10"/>
        <v>3.0582534300226024E-4</v>
      </c>
      <c r="S104" s="14">
        <f t="shared" si="11"/>
        <v>1.748786273397239E-2</v>
      </c>
    </row>
    <row r="105" spans="1:19" x14ac:dyDescent="0.35">
      <c r="A105" s="4">
        <v>43592</v>
      </c>
      <c r="B105" s="2">
        <v>42.27</v>
      </c>
      <c r="C105" s="2">
        <v>22.950064000000001</v>
      </c>
      <c r="D105" s="2">
        <v>41.384335</v>
      </c>
      <c r="E105" s="2">
        <v>52.973232000000003</v>
      </c>
      <c r="F105" s="8">
        <v>1053.630981</v>
      </c>
      <c r="G105" s="12">
        <f t="shared" si="12"/>
        <v>-1.4094642704851426E-2</v>
      </c>
      <c r="H105" s="3">
        <f t="shared" si="13"/>
        <v>-3.6652470987002593E-3</v>
      </c>
      <c r="I105" s="3">
        <f t="shared" si="14"/>
        <v>-1.4041951586211349E-2</v>
      </c>
      <c r="J105" s="3">
        <f t="shared" si="15"/>
        <v>-2.3522007785864243E-2</v>
      </c>
      <c r="K105" s="14">
        <f t="shared" si="16"/>
        <v>-3.8985033133269093E-3</v>
      </c>
      <c r="L105" s="9">
        <v>0.3</v>
      </c>
      <c r="M105" s="2">
        <v>0.2</v>
      </c>
      <c r="N105" s="2">
        <v>0.4</v>
      </c>
      <c r="O105" s="2">
        <v>0.1</v>
      </c>
      <c r="P105" s="8">
        <v>0</v>
      </c>
      <c r="Q105" s="12">
        <f t="shared" si="9"/>
        <v>-2.3581976326978233E-4</v>
      </c>
      <c r="R105" s="3">
        <f t="shared" si="10"/>
        <v>2.5416992147119221E-4</v>
      </c>
      <c r="S105" s="14">
        <f t="shared" si="11"/>
        <v>1.5942707469912134E-2</v>
      </c>
    </row>
    <row r="106" spans="1:19" x14ac:dyDescent="0.35">
      <c r="A106" s="4">
        <v>43593</v>
      </c>
      <c r="B106" s="2">
        <v>42.98</v>
      </c>
      <c r="C106" s="2">
        <v>23.820872999999999</v>
      </c>
      <c r="D106" s="2">
        <v>41.979304999999997</v>
      </c>
      <c r="E106" s="2">
        <v>53.198025000000001</v>
      </c>
      <c r="F106" s="8">
        <v>1047.263062</v>
      </c>
      <c r="G106" s="12">
        <f t="shared" si="12"/>
        <v>1.6657276635665789E-2</v>
      </c>
      <c r="H106" s="3">
        <f t="shared" si="13"/>
        <v>3.7241487955929298E-2</v>
      </c>
      <c r="I106" s="3">
        <f t="shared" si="14"/>
        <v>1.4274331168462806E-2</v>
      </c>
      <c r="J106" s="3">
        <f t="shared" si="15"/>
        <v>4.2345422340314583E-3</v>
      </c>
      <c r="K106" s="14">
        <f t="shared" si="16"/>
        <v>-6.0621224783813802E-3</v>
      </c>
      <c r="L106" s="9">
        <v>0.2</v>
      </c>
      <c r="M106" s="2">
        <v>0.3</v>
      </c>
      <c r="N106" s="2">
        <v>0.4</v>
      </c>
      <c r="O106" s="2">
        <v>0.1</v>
      </c>
      <c r="P106" s="8">
        <v>0</v>
      </c>
      <c r="Q106" s="12">
        <f t="shared" si="9"/>
        <v>-1.3556357452036352E-4</v>
      </c>
      <c r="R106" s="3">
        <f t="shared" si="10"/>
        <v>2.2708248002125471E-4</v>
      </c>
      <c r="S106" s="14">
        <f t="shared" si="11"/>
        <v>1.5069256120368208E-2</v>
      </c>
    </row>
    <row r="107" spans="1:19" x14ac:dyDescent="0.35">
      <c r="A107" s="4">
        <v>43594</v>
      </c>
      <c r="B107" s="2">
        <v>42.990001999999997</v>
      </c>
      <c r="C107" s="2">
        <v>23.436969999999999</v>
      </c>
      <c r="D107" s="2">
        <v>41.013354999999997</v>
      </c>
      <c r="E107" s="2">
        <v>52.377032999999997</v>
      </c>
      <c r="F107" s="8">
        <v>1051.3988039999999</v>
      </c>
      <c r="G107" s="12">
        <f t="shared" si="12"/>
        <v>2.3268581627178275E-4</v>
      </c>
      <c r="H107" s="3">
        <f t="shared" si="13"/>
        <v>-1.624752298800829E-2</v>
      </c>
      <c r="I107" s="3">
        <f t="shared" si="14"/>
        <v>-2.3279013380253087E-2</v>
      </c>
      <c r="J107" s="3">
        <f t="shared" si="15"/>
        <v>-1.5553077880244966E-2</v>
      </c>
      <c r="K107" s="14">
        <f t="shared" si="16"/>
        <v>3.9413184379207909E-3</v>
      </c>
      <c r="L107" s="9">
        <v>0.1</v>
      </c>
      <c r="M107" s="2">
        <v>0.4</v>
      </c>
      <c r="N107" s="2">
        <v>0.4</v>
      </c>
      <c r="O107" s="2">
        <v>0.1</v>
      </c>
      <c r="P107" s="8">
        <v>0</v>
      </c>
      <c r="Q107" s="12">
        <f t="shared" si="9"/>
        <v>-3.5307385770944695E-5</v>
      </c>
      <c r="R107" s="3">
        <f t="shared" si="10"/>
        <v>2.2456301865244775E-4</v>
      </c>
      <c r="S107" s="14">
        <f t="shared" si="11"/>
        <v>1.4985426875883374E-2</v>
      </c>
    </row>
    <row r="108" spans="1:19" x14ac:dyDescent="0.35">
      <c r="A108" s="4">
        <v>43595</v>
      </c>
      <c r="B108" s="2">
        <v>42.759998000000003</v>
      </c>
      <c r="C108" s="2">
        <v>23.465055</v>
      </c>
      <c r="D108" s="2">
        <v>41.240059000000002</v>
      </c>
      <c r="E108" s="2">
        <v>52.953682000000001</v>
      </c>
      <c r="F108" s="8">
        <v>1049.1564940000001</v>
      </c>
      <c r="G108" s="12">
        <f t="shared" si="12"/>
        <v>-5.3645376464773577E-3</v>
      </c>
      <c r="H108" s="3">
        <f t="shared" si="13"/>
        <v>1.1976030184945132E-3</v>
      </c>
      <c r="I108" s="3">
        <f t="shared" si="14"/>
        <v>5.5123444250206911E-3</v>
      </c>
      <c r="J108" s="3">
        <f t="shared" si="15"/>
        <v>1.0949413211060076E-2</v>
      </c>
      <c r="K108" s="14">
        <f t="shared" si="16"/>
        <v>-2.1349695995688932E-3</v>
      </c>
      <c r="L108" s="9">
        <v>0</v>
      </c>
      <c r="M108" s="2">
        <v>0.5</v>
      </c>
      <c r="N108" s="2">
        <v>0.4</v>
      </c>
      <c r="O108" s="2">
        <v>0.1</v>
      </c>
      <c r="P108" s="8">
        <v>0</v>
      </c>
      <c r="Q108" s="12">
        <f t="shared" si="9"/>
        <v>6.4948802978474107E-5</v>
      </c>
      <c r="R108" s="3">
        <f t="shared" si="10"/>
        <v>2.4661153736477121E-4</v>
      </c>
      <c r="S108" s="14">
        <f t="shared" si="11"/>
        <v>1.5703870139706682E-2</v>
      </c>
    </row>
    <row r="109" spans="1:19" x14ac:dyDescent="0.35">
      <c r="A109" s="4">
        <v>43598</v>
      </c>
      <c r="B109" s="2">
        <v>42.119999</v>
      </c>
      <c r="C109" s="2">
        <v>23.099879999999999</v>
      </c>
      <c r="D109" s="2">
        <v>41.338622999999998</v>
      </c>
      <c r="E109" s="2">
        <v>52.298842999999998</v>
      </c>
      <c r="F109" s="8">
        <v>1107.5532229999999</v>
      </c>
      <c r="G109" s="12">
        <f t="shared" si="12"/>
        <v>-1.5080375860074607E-2</v>
      </c>
      <c r="H109" s="3">
        <f t="shared" si="13"/>
        <v>-1.5684870451045389E-2</v>
      </c>
      <c r="I109" s="3">
        <f t="shared" si="14"/>
        <v>2.3871547575834463E-3</v>
      </c>
      <c r="J109" s="3">
        <f t="shared" si="15"/>
        <v>-1.2443358473911573E-2</v>
      </c>
      <c r="K109" s="14">
        <f t="shared" si="16"/>
        <v>5.4166776395250874E-2</v>
      </c>
      <c r="L109" s="9">
        <v>0.4</v>
      </c>
      <c r="M109" s="2">
        <v>0</v>
      </c>
      <c r="N109" s="2">
        <v>0.5</v>
      </c>
      <c r="O109" s="2">
        <v>0.1</v>
      </c>
      <c r="P109" s="8">
        <v>0</v>
      </c>
      <c r="Q109" s="12">
        <f t="shared" si="9"/>
        <v>-2.9158221883663157E-4</v>
      </c>
      <c r="R109" s="3">
        <f t="shared" si="10"/>
        <v>3.3169466283456458E-4</v>
      </c>
      <c r="S109" s="14">
        <f t="shared" si="11"/>
        <v>1.8212486453929474E-2</v>
      </c>
    </row>
    <row r="110" spans="1:19" x14ac:dyDescent="0.35">
      <c r="A110" s="4">
        <v>43599</v>
      </c>
      <c r="B110" s="2">
        <v>41.389999000000003</v>
      </c>
      <c r="C110" s="2">
        <v>22.584883000000001</v>
      </c>
      <c r="D110" s="2">
        <v>41.831451000000001</v>
      </c>
      <c r="E110" s="2">
        <v>52.308619999999998</v>
      </c>
      <c r="F110" s="8">
        <v>1119.3819579999999</v>
      </c>
      <c r="G110" s="12">
        <f t="shared" si="12"/>
        <v>-1.7483381923868509E-2</v>
      </c>
      <c r="H110" s="3">
        <f t="shared" si="13"/>
        <v>-2.2546634045399486E-2</v>
      </c>
      <c r="I110" s="3">
        <f t="shared" si="14"/>
        <v>1.1851228320267811E-2</v>
      </c>
      <c r="J110" s="3">
        <f t="shared" si="15"/>
        <v>1.8692739022765434E-4</v>
      </c>
      <c r="K110" s="14">
        <f t="shared" si="16"/>
        <v>1.062343111491836E-2</v>
      </c>
      <c r="L110" s="9">
        <v>0.3</v>
      </c>
      <c r="M110" s="2">
        <v>0.1</v>
      </c>
      <c r="N110" s="2">
        <v>0.5</v>
      </c>
      <c r="O110" s="2">
        <v>0.1</v>
      </c>
      <c r="P110" s="8">
        <v>0</v>
      </c>
      <c r="Q110" s="12">
        <f t="shared" si="9"/>
        <v>-1.9132603008721266E-4</v>
      </c>
      <c r="R110" s="3">
        <f t="shared" si="10"/>
        <v>2.7574554934630562E-4</v>
      </c>
      <c r="S110" s="14">
        <f t="shared" si="11"/>
        <v>1.6605587895232907E-2</v>
      </c>
    </row>
    <row r="111" spans="1:19" x14ac:dyDescent="0.35">
      <c r="A111" s="4">
        <v>43600</v>
      </c>
      <c r="B111" s="2">
        <v>41.93</v>
      </c>
      <c r="C111" s="2">
        <v>22.940701000000001</v>
      </c>
      <c r="D111" s="2">
        <v>41.486472999999997</v>
      </c>
      <c r="E111" s="2">
        <v>52.191338000000002</v>
      </c>
      <c r="F111" s="8">
        <v>1120.0794679999999</v>
      </c>
      <c r="G111" s="12">
        <f t="shared" si="12"/>
        <v>1.2962279582455728E-2</v>
      </c>
      <c r="H111" s="3">
        <f t="shared" si="13"/>
        <v>1.5631880548010881E-2</v>
      </c>
      <c r="I111" s="3">
        <f t="shared" si="14"/>
        <v>-8.2810505798545826E-3</v>
      </c>
      <c r="J111" s="3">
        <f t="shared" si="15"/>
        <v>-2.2446334235385872E-3</v>
      </c>
      <c r="K111" s="14">
        <f t="shared" si="16"/>
        <v>6.2292657909350751E-4</v>
      </c>
      <c r="L111" s="9">
        <v>0.2</v>
      </c>
      <c r="M111" s="2">
        <v>0.2</v>
      </c>
      <c r="N111" s="2">
        <v>0.5</v>
      </c>
      <c r="O111" s="2">
        <v>0.1</v>
      </c>
      <c r="P111" s="8">
        <v>0</v>
      </c>
      <c r="Q111" s="12">
        <f t="shared" si="9"/>
        <v>-9.106984133779394E-5</v>
      </c>
      <c r="R111" s="3">
        <f t="shared" si="10"/>
        <v>2.4436441593917731E-4</v>
      </c>
      <c r="S111" s="14">
        <f t="shared" si="11"/>
        <v>1.5632159669705825E-2</v>
      </c>
    </row>
    <row r="112" spans="1:19" x14ac:dyDescent="0.35">
      <c r="A112" s="4">
        <v>43601</v>
      </c>
      <c r="B112" s="2">
        <v>41.810001</v>
      </c>
      <c r="C112" s="2">
        <v>23.895780999999999</v>
      </c>
      <c r="D112" s="2">
        <v>40.845790999999998</v>
      </c>
      <c r="E112" s="2">
        <v>53.149158</v>
      </c>
      <c r="F112" s="8">
        <v>1166.2586670000001</v>
      </c>
      <c r="G112" s="12">
        <f t="shared" si="12"/>
        <v>-2.8659918964748913E-3</v>
      </c>
      <c r="H112" s="3">
        <f t="shared" si="13"/>
        <v>4.0789246946381461E-2</v>
      </c>
      <c r="I112" s="3">
        <f t="shared" si="14"/>
        <v>-1.5563641793812482E-2</v>
      </c>
      <c r="J112" s="3">
        <f t="shared" si="15"/>
        <v>1.8185720283819495E-2</v>
      </c>
      <c r="K112" s="14">
        <f t="shared" si="16"/>
        <v>4.0401268301711077E-2</v>
      </c>
      <c r="L112" s="9">
        <v>0.1</v>
      </c>
      <c r="M112" s="2">
        <v>0.3</v>
      </c>
      <c r="N112" s="2">
        <v>0.5</v>
      </c>
      <c r="O112" s="2">
        <v>0.1</v>
      </c>
      <c r="P112" s="8">
        <v>0</v>
      </c>
      <c r="Q112" s="12">
        <f t="shared" si="9"/>
        <v>9.1863474116248856E-6</v>
      </c>
      <c r="R112" s="3">
        <f t="shared" si="10"/>
        <v>2.3755126261317937E-4</v>
      </c>
      <c r="S112" s="14">
        <f t="shared" si="11"/>
        <v>1.5412698096478092E-2</v>
      </c>
    </row>
    <row r="113" spans="1:19" x14ac:dyDescent="0.35">
      <c r="A113" s="4">
        <v>43602</v>
      </c>
      <c r="B113" s="2">
        <v>41.790000999999997</v>
      </c>
      <c r="C113" s="2">
        <v>23.502516</v>
      </c>
      <c r="D113" s="2">
        <v>40.776794000000002</v>
      </c>
      <c r="E113" s="2">
        <v>52.367268000000003</v>
      </c>
      <c r="F113" s="8">
        <v>1160.0004879999999</v>
      </c>
      <c r="G113" s="12">
        <f t="shared" si="12"/>
        <v>-4.7846889720309097E-4</v>
      </c>
      <c r="H113" s="3">
        <f t="shared" si="13"/>
        <v>-1.6594436909074996E-2</v>
      </c>
      <c r="I113" s="3">
        <f t="shared" si="14"/>
        <v>-1.6906354150437182E-3</v>
      </c>
      <c r="J113" s="3">
        <f t="shared" si="15"/>
        <v>-1.4820523046447187E-2</v>
      </c>
      <c r="K113" s="14">
        <f t="shared" si="16"/>
        <v>-5.3804788552171742E-3</v>
      </c>
      <c r="L113" s="9">
        <v>0</v>
      </c>
      <c r="M113" s="2">
        <v>0.4</v>
      </c>
      <c r="N113" s="2">
        <v>0.5</v>
      </c>
      <c r="O113" s="2">
        <v>0.1</v>
      </c>
      <c r="P113" s="8">
        <v>0</v>
      </c>
      <c r="Q113" s="12">
        <f t="shared" si="9"/>
        <v>1.0944253616104372E-4</v>
      </c>
      <c r="R113" s="3">
        <f t="shared" si="10"/>
        <v>2.5530608936831202E-4</v>
      </c>
      <c r="S113" s="14">
        <f t="shared" si="11"/>
        <v>1.5978300578231467E-2</v>
      </c>
    </row>
    <row r="114" spans="1:19" x14ac:dyDescent="0.35">
      <c r="A114" s="4">
        <v>43605</v>
      </c>
      <c r="B114" s="2">
        <v>41.880001</v>
      </c>
      <c r="C114" s="2">
        <v>23.487248999999998</v>
      </c>
      <c r="D114" s="2">
        <v>40.707797999999997</v>
      </c>
      <c r="E114" s="2">
        <v>54.400185</v>
      </c>
      <c r="F114" s="8">
        <v>1186.986572</v>
      </c>
      <c r="G114" s="12">
        <f t="shared" si="12"/>
        <v>2.1513094910884899E-3</v>
      </c>
      <c r="H114" s="3">
        <f t="shared" si="13"/>
        <v>-6.4980110188664309E-4</v>
      </c>
      <c r="I114" s="3">
        <f t="shared" si="14"/>
        <v>-1.6934739389554306E-3</v>
      </c>
      <c r="J114" s="3">
        <f t="shared" si="15"/>
        <v>3.8085814932110218E-2</v>
      </c>
      <c r="K114" s="14">
        <f t="shared" si="16"/>
        <v>2.2997377203050076E-2</v>
      </c>
      <c r="L114" s="9">
        <v>0.3</v>
      </c>
      <c r="M114" s="2">
        <v>0</v>
      </c>
      <c r="N114" s="2">
        <v>0.6</v>
      </c>
      <c r="O114" s="2">
        <v>0.1</v>
      </c>
      <c r="P114" s="8">
        <v>0</v>
      </c>
      <c r="Q114" s="12">
        <f t="shared" si="9"/>
        <v>-1.4683229690464308E-4</v>
      </c>
      <c r="R114" s="3">
        <f t="shared" si="10"/>
        <v>3.1151971119135994E-4</v>
      </c>
      <c r="S114" s="14">
        <f t="shared" si="11"/>
        <v>1.7649920996745564E-2</v>
      </c>
    </row>
    <row r="115" spans="1:19" x14ac:dyDescent="0.35">
      <c r="A115" s="4">
        <v>43606</v>
      </c>
      <c r="B115" s="2">
        <v>41.189999</v>
      </c>
      <c r="C115" s="2">
        <v>23.600304000000001</v>
      </c>
      <c r="D115" s="2">
        <v>39.899559000000004</v>
      </c>
      <c r="E115" s="2">
        <v>53.510779999999997</v>
      </c>
      <c r="F115" s="8">
        <v>1194.4904790000001</v>
      </c>
      <c r="G115" s="12">
        <f t="shared" si="12"/>
        <v>-1.6612925709830001E-2</v>
      </c>
      <c r="H115" s="3">
        <f t="shared" si="13"/>
        <v>4.8019151574415931E-3</v>
      </c>
      <c r="I115" s="3">
        <f t="shared" si="14"/>
        <v>-2.0054399944617208E-2</v>
      </c>
      <c r="J115" s="3">
        <f t="shared" si="15"/>
        <v>-1.6484425659801898E-2</v>
      </c>
      <c r="K115" s="14">
        <f t="shared" si="16"/>
        <v>6.3019140420338118E-3</v>
      </c>
      <c r="L115" s="9">
        <v>0.2</v>
      </c>
      <c r="M115" s="2">
        <v>0.1</v>
      </c>
      <c r="N115" s="2">
        <v>0.6</v>
      </c>
      <c r="O115" s="2">
        <v>0.1</v>
      </c>
      <c r="P115" s="8">
        <v>0</v>
      </c>
      <c r="Q115" s="12">
        <f t="shared" si="9"/>
        <v>-4.6576108155224301E-5</v>
      </c>
      <c r="R115" s="3">
        <f t="shared" si="10"/>
        <v>2.758448858270407E-4</v>
      </c>
      <c r="S115" s="14">
        <f t="shared" si="11"/>
        <v>1.6608578681724717E-2</v>
      </c>
    </row>
    <row r="116" spans="1:19" x14ac:dyDescent="0.35">
      <c r="A116" s="4">
        <v>43607</v>
      </c>
      <c r="B116" s="2">
        <v>40.869999</v>
      </c>
      <c r="C116" s="2">
        <v>23.223452000000002</v>
      </c>
      <c r="D116" s="2">
        <v>39.564433999999999</v>
      </c>
      <c r="E116" s="2">
        <v>52.914588999999999</v>
      </c>
      <c r="F116" s="8">
        <v>1189.617432</v>
      </c>
      <c r="G116" s="12">
        <f t="shared" si="12"/>
        <v>-7.7992110618909259E-3</v>
      </c>
      <c r="H116" s="3">
        <f t="shared" si="13"/>
        <v>-1.6096963140311112E-2</v>
      </c>
      <c r="I116" s="3">
        <f t="shared" si="14"/>
        <v>-8.434687817434677E-3</v>
      </c>
      <c r="J116" s="3">
        <f t="shared" si="15"/>
        <v>-1.1204043589852757E-2</v>
      </c>
      <c r="K116" s="14">
        <f t="shared" si="16"/>
        <v>-4.0879473313818991E-3</v>
      </c>
      <c r="L116" s="9">
        <v>0.1</v>
      </c>
      <c r="M116" s="2">
        <v>0.2</v>
      </c>
      <c r="N116" s="2">
        <v>0.6</v>
      </c>
      <c r="O116" s="2">
        <v>0.1</v>
      </c>
      <c r="P116" s="8">
        <v>0</v>
      </c>
      <c r="Q116" s="12">
        <f t="shared" si="9"/>
        <v>5.3680080594194527E-5</v>
      </c>
      <c r="R116" s="3">
        <f t="shared" si="10"/>
        <v>2.647380405438519E-4</v>
      </c>
      <c r="S116" s="14">
        <f t="shared" si="11"/>
        <v>1.6270772585954604E-2</v>
      </c>
    </row>
    <row r="117" spans="1:19" x14ac:dyDescent="0.35">
      <c r="A117" s="4">
        <v>43608</v>
      </c>
      <c r="B117" s="2">
        <v>40.540000999999997</v>
      </c>
      <c r="C117" s="2">
        <v>22.837181000000001</v>
      </c>
      <c r="D117" s="2">
        <v>39.130744999999997</v>
      </c>
      <c r="E117" s="2">
        <v>53.725802999999999</v>
      </c>
      <c r="F117" s="8">
        <v>1192.098755</v>
      </c>
      <c r="G117" s="12">
        <f t="shared" si="12"/>
        <v>-8.1071074175116959E-3</v>
      </c>
      <c r="H117" s="3">
        <f t="shared" si="13"/>
        <v>-1.6772676811621635E-2</v>
      </c>
      <c r="I117" s="3">
        <f t="shared" si="14"/>
        <v>-1.102210824420928E-2</v>
      </c>
      <c r="J117" s="3">
        <f t="shared" si="15"/>
        <v>1.5214303561860671E-2</v>
      </c>
      <c r="K117" s="14">
        <f t="shared" si="16"/>
        <v>2.0836436442597684E-3</v>
      </c>
      <c r="L117" s="9">
        <v>0</v>
      </c>
      <c r="M117" s="2">
        <v>0.3</v>
      </c>
      <c r="N117" s="2">
        <v>0.6</v>
      </c>
      <c r="O117" s="2">
        <v>0.1</v>
      </c>
      <c r="P117" s="8">
        <v>0</v>
      </c>
      <c r="Q117" s="12">
        <f t="shared" si="9"/>
        <v>1.5393626934361333E-4</v>
      </c>
      <c r="R117" s="3">
        <f t="shared" si="10"/>
        <v>2.7819917534179363E-4</v>
      </c>
      <c r="S117" s="14">
        <f t="shared" si="11"/>
        <v>1.667930380267095E-2</v>
      </c>
    </row>
    <row r="118" spans="1:19" x14ac:dyDescent="0.35">
      <c r="A118" s="4">
        <v>43609</v>
      </c>
      <c r="B118" s="2">
        <v>40.639999000000003</v>
      </c>
      <c r="C118" s="2">
        <v>22.761810000000001</v>
      </c>
      <c r="D118" s="2">
        <v>39.071601999999999</v>
      </c>
      <c r="E118" s="2">
        <v>53.588974</v>
      </c>
      <c r="F118" s="8">
        <v>1190.285034</v>
      </c>
      <c r="G118" s="12">
        <f t="shared" si="12"/>
        <v>2.4636129730779151E-3</v>
      </c>
      <c r="H118" s="3">
        <f t="shared" si="13"/>
        <v>-3.305821773149315E-3</v>
      </c>
      <c r="I118" s="3">
        <f t="shared" si="14"/>
        <v>-1.5125635877872078E-3</v>
      </c>
      <c r="J118" s="3">
        <f t="shared" si="15"/>
        <v>-2.5500509430712802E-3</v>
      </c>
      <c r="K118" s="14">
        <f t="shared" si="16"/>
        <v>-1.5226105539976821E-3</v>
      </c>
      <c r="L118" s="9">
        <v>0.2</v>
      </c>
      <c r="M118" s="2">
        <v>0</v>
      </c>
      <c r="N118" s="2">
        <v>0.7</v>
      </c>
      <c r="O118" s="2">
        <v>0.1</v>
      </c>
      <c r="P118" s="8">
        <v>0</v>
      </c>
      <c r="Q118" s="12">
        <f t="shared" si="9"/>
        <v>-2.0823749726546938E-6</v>
      </c>
      <c r="R118" s="3">
        <f t="shared" si="10"/>
        <v>3.2152388968484488E-4</v>
      </c>
      <c r="S118" s="14">
        <f t="shared" si="11"/>
        <v>1.7931087242129096E-2</v>
      </c>
    </row>
    <row r="119" spans="1:19" x14ac:dyDescent="0.35">
      <c r="A119" s="4">
        <v>43612</v>
      </c>
      <c r="B119" s="2">
        <v>40.729999999999997</v>
      </c>
      <c r="C119" s="2">
        <v>22.281327999999998</v>
      </c>
      <c r="D119" s="2">
        <v>39.249023000000001</v>
      </c>
      <c r="E119" s="2">
        <v>53.755122999999998</v>
      </c>
      <c r="F119" s="8">
        <v>1209.6875</v>
      </c>
      <c r="G119" s="12">
        <f t="shared" si="12"/>
        <v>2.2121429963941749E-3</v>
      </c>
      <c r="H119" s="3">
        <f t="shared" si="13"/>
        <v>-2.1335113269746502E-2</v>
      </c>
      <c r="I119" s="3">
        <f t="shared" si="14"/>
        <v>4.5306406451414531E-3</v>
      </c>
      <c r="J119" s="3">
        <f t="shared" si="15"/>
        <v>3.0956361332711703E-3</v>
      </c>
      <c r="K119" s="14">
        <f t="shared" si="16"/>
        <v>1.6169258978026298E-2</v>
      </c>
      <c r="L119" s="9">
        <v>0.1</v>
      </c>
      <c r="M119" s="2">
        <v>0.1</v>
      </c>
      <c r="N119" s="2">
        <v>0.7</v>
      </c>
      <c r="O119" s="2">
        <v>0.1</v>
      </c>
      <c r="P119" s="8">
        <v>0</v>
      </c>
      <c r="Q119" s="12">
        <f t="shared" si="9"/>
        <v>9.8173813776764111E-5</v>
      </c>
      <c r="R119" s="3">
        <f t="shared" si="10"/>
        <v>3.0612335244446526E-4</v>
      </c>
      <c r="S119" s="14">
        <f t="shared" si="11"/>
        <v>1.7496381124234385E-2</v>
      </c>
    </row>
    <row r="120" spans="1:19" x14ac:dyDescent="0.35">
      <c r="A120" s="4">
        <v>43613</v>
      </c>
      <c r="B120" s="2">
        <v>40.639999000000003</v>
      </c>
      <c r="C120" s="2">
        <v>21.800837999999999</v>
      </c>
      <c r="D120" s="2">
        <v>38.499920000000003</v>
      </c>
      <c r="E120" s="2">
        <v>53.588974</v>
      </c>
      <c r="F120" s="8">
        <v>1218.446899</v>
      </c>
      <c r="G120" s="12">
        <f t="shared" si="12"/>
        <v>-2.2121429963941697E-3</v>
      </c>
      <c r="H120" s="3">
        <f t="shared" si="13"/>
        <v>-2.1800608886500407E-2</v>
      </c>
      <c r="I120" s="3">
        <f t="shared" si="14"/>
        <v>-1.9270388829366426E-2</v>
      </c>
      <c r="J120" s="3">
        <f t="shared" si="15"/>
        <v>-3.095636133271264E-3</v>
      </c>
      <c r="K120" s="14">
        <f t="shared" si="16"/>
        <v>7.2149523531396349E-3</v>
      </c>
      <c r="L120" s="9">
        <v>0</v>
      </c>
      <c r="M120" s="2">
        <v>0.2</v>
      </c>
      <c r="N120" s="2">
        <v>0.7</v>
      </c>
      <c r="O120" s="2">
        <v>0.1</v>
      </c>
      <c r="P120" s="8">
        <v>0</v>
      </c>
      <c r="Q120" s="12">
        <f t="shared" si="9"/>
        <v>1.9843000252618294E-4</v>
      </c>
      <c r="R120" s="3">
        <f t="shared" si="10"/>
        <v>3.1529079528521602E-4</v>
      </c>
      <c r="S120" s="14">
        <f t="shared" si="11"/>
        <v>1.7756429688572418E-2</v>
      </c>
    </row>
    <row r="121" spans="1:19" x14ac:dyDescent="0.35">
      <c r="A121" s="4">
        <v>43614</v>
      </c>
      <c r="B121" s="2">
        <v>39.970001000000003</v>
      </c>
      <c r="C121" s="2">
        <v>21.433411</v>
      </c>
      <c r="D121" s="2">
        <v>38.874470000000002</v>
      </c>
      <c r="E121" s="2">
        <v>53.501007000000001</v>
      </c>
      <c r="F121" s="8">
        <v>1202.3032229999999</v>
      </c>
      <c r="G121" s="12">
        <f t="shared" si="12"/>
        <v>-1.6623580921930975E-2</v>
      </c>
      <c r="H121" s="3">
        <f t="shared" si="13"/>
        <v>-1.6997443215113841E-2</v>
      </c>
      <c r="I121" s="3">
        <f t="shared" si="14"/>
        <v>9.6815735964457927E-3</v>
      </c>
      <c r="J121" s="3">
        <f t="shared" si="15"/>
        <v>-1.6428618058154845E-3</v>
      </c>
      <c r="K121" s="14">
        <f t="shared" si="16"/>
        <v>-1.3337944452502795E-2</v>
      </c>
      <c r="L121" s="9">
        <v>0.1</v>
      </c>
      <c r="M121" s="2">
        <v>0</v>
      </c>
      <c r="N121" s="2">
        <v>0.8</v>
      </c>
      <c r="O121" s="2">
        <v>0.1</v>
      </c>
      <c r="P121" s="8">
        <v>0</v>
      </c>
      <c r="Q121" s="12">
        <f t="shared" si="9"/>
        <v>1.4266754695933375E-4</v>
      </c>
      <c r="R121" s="3">
        <f t="shared" si="10"/>
        <v>3.6170719831501947E-4</v>
      </c>
      <c r="S121" s="14">
        <f t="shared" si="11"/>
        <v>1.9018601376416183E-2</v>
      </c>
    </row>
    <row r="122" spans="1:19" x14ac:dyDescent="0.35">
      <c r="A122" s="4">
        <v>43615</v>
      </c>
      <c r="B122" s="2">
        <v>39.439999</v>
      </c>
      <c r="C122" s="2">
        <v>21.73489</v>
      </c>
      <c r="D122" s="2">
        <v>39.120883999999997</v>
      </c>
      <c r="E122" s="2">
        <v>54.351315</v>
      </c>
      <c r="F122" s="8">
        <v>1192.178345</v>
      </c>
      <c r="G122" s="12">
        <f t="shared" si="12"/>
        <v>-1.33486933625312E-2</v>
      </c>
      <c r="H122" s="3">
        <f t="shared" si="13"/>
        <v>1.3967837258276036E-2</v>
      </c>
      <c r="I122" s="3">
        <f t="shared" si="14"/>
        <v>6.3187050823717171E-3</v>
      </c>
      <c r="J122" s="3">
        <f t="shared" si="15"/>
        <v>1.5768332151994423E-2</v>
      </c>
      <c r="K122" s="14">
        <f t="shared" si="16"/>
        <v>-8.4568939504183465E-3</v>
      </c>
      <c r="L122" s="9">
        <v>0</v>
      </c>
      <c r="M122" s="2">
        <v>0.1</v>
      </c>
      <c r="N122" s="2">
        <v>0.8</v>
      </c>
      <c r="O122" s="2">
        <v>0.1</v>
      </c>
      <c r="P122" s="8">
        <v>0</v>
      </c>
      <c r="Q122" s="12">
        <f t="shared" si="9"/>
        <v>2.4292373570875258E-4</v>
      </c>
      <c r="R122" s="3">
        <f t="shared" si="10"/>
        <v>3.6658094919857947E-4</v>
      </c>
      <c r="S122" s="14">
        <f t="shared" si="11"/>
        <v>1.9146303799913431E-2</v>
      </c>
    </row>
    <row r="123" spans="1:19" x14ac:dyDescent="0.35">
      <c r="A123" s="4">
        <v>43616</v>
      </c>
      <c r="B123" s="2">
        <v>38.290000999999997</v>
      </c>
      <c r="C123" s="2">
        <v>21.518201999999999</v>
      </c>
      <c r="D123" s="2">
        <v>38.982891000000002</v>
      </c>
      <c r="E123" s="2">
        <v>54.058104999999998</v>
      </c>
      <c r="F123" s="8">
        <v>1193.782837</v>
      </c>
      <c r="G123" s="12">
        <f t="shared" si="12"/>
        <v>-2.9591712773782548E-2</v>
      </c>
      <c r="H123" s="3">
        <f t="shared" si="13"/>
        <v>-1.0019621849167134E-2</v>
      </c>
      <c r="I123" s="3">
        <f t="shared" si="14"/>
        <v>-3.5335844799871206E-3</v>
      </c>
      <c r="J123" s="3">
        <f t="shared" si="15"/>
        <v>-5.409321716913028E-3</v>
      </c>
      <c r="K123" s="14">
        <f t="shared" si="16"/>
        <v>1.3449441289864585E-3</v>
      </c>
      <c r="L123" s="9">
        <v>0</v>
      </c>
      <c r="M123" s="2">
        <v>0</v>
      </c>
      <c r="N123" s="2">
        <v>0.9</v>
      </c>
      <c r="O123" s="2">
        <v>0.1</v>
      </c>
      <c r="P123" s="8">
        <v>0</v>
      </c>
      <c r="Q123" s="12">
        <f t="shared" si="9"/>
        <v>2.8741746889132219E-4</v>
      </c>
      <c r="R123" s="3">
        <f t="shared" si="10"/>
        <v>4.3206963708188344E-4</v>
      </c>
      <c r="S123" s="14">
        <f t="shared" si="11"/>
        <v>2.0786284831154495E-2</v>
      </c>
    </row>
    <row r="124" spans="1:19" x14ac:dyDescent="0.35">
      <c r="A124" s="4">
        <v>43619</v>
      </c>
      <c r="B124" s="2">
        <v>38.439999</v>
      </c>
      <c r="C124" s="2">
        <v>21.574729999999999</v>
      </c>
      <c r="D124" s="2">
        <v>39.239165999999997</v>
      </c>
      <c r="E124" s="2">
        <v>53.559649999999998</v>
      </c>
      <c r="F124" s="8">
        <v>1199.3135990000001</v>
      </c>
      <c r="G124" s="12">
        <f t="shared" si="12"/>
        <v>3.9097664818410257E-3</v>
      </c>
      <c r="H124" s="3">
        <f t="shared" si="13"/>
        <v>2.6235407896290008E-3</v>
      </c>
      <c r="I124" s="3">
        <f t="shared" si="14"/>
        <v>6.5525230803343314E-3</v>
      </c>
      <c r="J124" s="3">
        <f t="shared" si="15"/>
        <v>-9.2635005155971856E-3</v>
      </c>
      <c r="K124" s="14">
        <f t="shared" si="16"/>
        <v>4.6222724366991935E-3</v>
      </c>
      <c r="L124" s="9">
        <v>0.8</v>
      </c>
      <c r="M124" s="2">
        <v>0</v>
      </c>
      <c r="N124" s="2">
        <v>0</v>
      </c>
      <c r="O124" s="2">
        <v>0.2</v>
      </c>
      <c r="P124" s="8">
        <v>0</v>
      </c>
      <c r="Q124" s="12">
        <f t="shared" si="9"/>
        <v>-8.7278003463264254E-4</v>
      </c>
      <c r="R124" s="3">
        <f t="shared" si="10"/>
        <v>7.2087071433494479E-4</v>
      </c>
      <c r="S124" s="14">
        <f t="shared" si="11"/>
        <v>2.6849035631376871E-2</v>
      </c>
    </row>
    <row r="125" spans="1:19" x14ac:dyDescent="0.35">
      <c r="A125" s="4">
        <v>43620</v>
      </c>
      <c r="B125" s="2">
        <v>38.229999999999997</v>
      </c>
      <c r="C125" s="2">
        <v>22.479174</v>
      </c>
      <c r="D125" s="2">
        <v>39.446156000000002</v>
      </c>
      <c r="E125" s="2">
        <v>53.432589999999998</v>
      </c>
      <c r="F125" s="8">
        <v>1208.2624510000001</v>
      </c>
      <c r="G125" s="12">
        <f t="shared" si="12"/>
        <v>-5.4780103792019426E-3</v>
      </c>
      <c r="H125" s="3">
        <f t="shared" si="13"/>
        <v>4.1066558171351554E-2</v>
      </c>
      <c r="I125" s="3">
        <f t="shared" si="14"/>
        <v>5.2612220984394878E-3</v>
      </c>
      <c r="J125" s="3">
        <f t="shared" si="15"/>
        <v>-2.375126639673705E-3</v>
      </c>
      <c r="K125" s="14">
        <f t="shared" si="16"/>
        <v>7.4339443707767162E-3</v>
      </c>
      <c r="L125" s="9">
        <v>0.7</v>
      </c>
      <c r="M125" s="2">
        <v>0.1</v>
      </c>
      <c r="N125" s="2">
        <v>0</v>
      </c>
      <c r="O125" s="2">
        <v>0.2</v>
      </c>
      <c r="P125" s="8">
        <v>0</v>
      </c>
      <c r="Q125" s="12">
        <f t="shared" si="9"/>
        <v>-7.7252384588322371E-4</v>
      </c>
      <c r="R125" s="3">
        <f t="shared" si="10"/>
        <v>5.8248595424448041E-4</v>
      </c>
      <c r="S125" s="14">
        <f t="shared" si="11"/>
        <v>2.4134745787856984E-2</v>
      </c>
    </row>
    <row r="126" spans="1:19" x14ac:dyDescent="0.35">
      <c r="A126" s="4">
        <v>43621</v>
      </c>
      <c r="B126" s="2">
        <v>36.840000000000003</v>
      </c>
      <c r="C126" s="2">
        <v>22.149426999999999</v>
      </c>
      <c r="D126" s="2">
        <v>39.436295000000001</v>
      </c>
      <c r="E126" s="2">
        <v>53.129612000000002</v>
      </c>
      <c r="F126" s="8">
        <v>1205.8608400000001</v>
      </c>
      <c r="G126" s="12">
        <f t="shared" si="12"/>
        <v>-3.7036336321215169E-2</v>
      </c>
      <c r="H126" s="3">
        <f t="shared" si="13"/>
        <v>-1.4777653496137176E-2</v>
      </c>
      <c r="I126" s="3">
        <f t="shared" si="14"/>
        <v>-2.5001758759669792E-4</v>
      </c>
      <c r="J126" s="3">
        <f t="shared" si="15"/>
        <v>-5.6864218404375335E-3</v>
      </c>
      <c r="K126" s="14">
        <f t="shared" si="16"/>
        <v>-1.9896347474994435E-3</v>
      </c>
      <c r="L126" s="9">
        <v>0.6</v>
      </c>
      <c r="M126" s="2">
        <v>0.2</v>
      </c>
      <c r="N126" s="2">
        <v>0</v>
      </c>
      <c r="O126" s="2">
        <v>0.2</v>
      </c>
      <c r="P126" s="8">
        <v>0</v>
      </c>
      <c r="Q126" s="12">
        <f t="shared" si="9"/>
        <v>-6.7226765713380477E-4</v>
      </c>
      <c r="R126" s="3">
        <f t="shared" si="10"/>
        <v>4.6866917423514672E-4</v>
      </c>
      <c r="S126" s="14">
        <f t="shared" si="11"/>
        <v>2.1648768423056929E-2</v>
      </c>
    </row>
    <row r="127" spans="1:19" x14ac:dyDescent="0.35">
      <c r="A127" s="4">
        <v>43622</v>
      </c>
      <c r="B127" s="2">
        <v>35.740001999999997</v>
      </c>
      <c r="C127" s="2">
        <v>22.535699999999999</v>
      </c>
      <c r="D127" s="2">
        <v>39.564433999999999</v>
      </c>
      <c r="E127" s="2">
        <v>53.285988000000003</v>
      </c>
      <c r="F127" s="8">
        <v>1204.395874</v>
      </c>
      <c r="G127" s="12">
        <f t="shared" si="12"/>
        <v>-3.0313645696116862E-2</v>
      </c>
      <c r="H127" s="3">
        <f t="shared" si="13"/>
        <v>1.7289091369344457E-2</v>
      </c>
      <c r="I127" s="3">
        <f t="shared" si="14"/>
        <v>3.2439982262139453E-3</v>
      </c>
      <c r="J127" s="3">
        <f t="shared" si="15"/>
        <v>2.9389697104313453E-3</v>
      </c>
      <c r="K127" s="14">
        <f t="shared" si="16"/>
        <v>-1.2156100816066487E-3</v>
      </c>
      <c r="L127" s="9">
        <v>0.5</v>
      </c>
      <c r="M127" s="2">
        <v>0.3</v>
      </c>
      <c r="N127" s="2">
        <v>0</v>
      </c>
      <c r="O127" s="2">
        <v>0.2</v>
      </c>
      <c r="P127" s="8">
        <v>0</v>
      </c>
      <c r="Q127" s="12">
        <f t="shared" si="9"/>
        <v>-5.7201146838438605E-4</v>
      </c>
      <c r="R127" s="3">
        <f t="shared" si="10"/>
        <v>3.7942037430694351E-4</v>
      </c>
      <c r="S127" s="14">
        <f t="shared" si="11"/>
        <v>1.9478715930649624E-2</v>
      </c>
    </row>
    <row r="128" spans="1:19" x14ac:dyDescent="0.35">
      <c r="A128" s="4">
        <v>43623</v>
      </c>
      <c r="B128" s="2">
        <v>36.130001</v>
      </c>
      <c r="C128" s="2">
        <v>22.563967000000002</v>
      </c>
      <c r="D128" s="2">
        <v>40.727511999999997</v>
      </c>
      <c r="E128" s="2">
        <v>52.689796000000001</v>
      </c>
      <c r="F128" s="8">
        <v>1194.1317140000001</v>
      </c>
      <c r="G128" s="12">
        <f t="shared" si="12"/>
        <v>1.08530071463893E-2</v>
      </c>
      <c r="H128" s="3">
        <f t="shared" si="13"/>
        <v>1.2535349186258114E-3</v>
      </c>
      <c r="I128" s="3">
        <f t="shared" si="14"/>
        <v>2.897325121363329E-2</v>
      </c>
      <c r="J128" s="3">
        <f t="shared" si="15"/>
        <v>-1.1251594793242862E-2</v>
      </c>
      <c r="K128" s="14">
        <f t="shared" si="16"/>
        <v>-8.558769728221104E-3</v>
      </c>
      <c r="L128" s="9">
        <v>0.4</v>
      </c>
      <c r="M128" s="2">
        <v>0.4</v>
      </c>
      <c r="N128" s="2">
        <v>0</v>
      </c>
      <c r="O128" s="2">
        <v>0.2</v>
      </c>
      <c r="P128" s="8">
        <v>0</v>
      </c>
      <c r="Q128" s="12">
        <f t="shared" si="9"/>
        <v>-4.7175527963496728E-4</v>
      </c>
      <c r="R128" s="3">
        <f t="shared" si="10"/>
        <v>3.1473955445987078E-4</v>
      </c>
      <c r="S128" s="14">
        <f t="shared" si="11"/>
        <v>1.7740900610168323E-2</v>
      </c>
    </row>
    <row r="129" spans="1:19" x14ac:dyDescent="0.35">
      <c r="A129" s="4">
        <v>43626</v>
      </c>
      <c r="B129" s="2">
        <v>36.360000999999997</v>
      </c>
      <c r="C129" s="2">
        <v>22.554544</v>
      </c>
      <c r="D129" s="2">
        <v>39.800995</v>
      </c>
      <c r="E129" s="2">
        <v>53.706260999999998</v>
      </c>
      <c r="F129" s="8">
        <v>1191.5805660000001</v>
      </c>
      <c r="G129" s="12">
        <f t="shared" si="12"/>
        <v>6.3457239746492911E-3</v>
      </c>
      <c r="H129" s="3">
        <f t="shared" si="13"/>
        <v>-4.176999607547969E-4</v>
      </c>
      <c r="I129" s="3">
        <f t="shared" si="14"/>
        <v>-2.3011922621459548E-2</v>
      </c>
      <c r="J129" s="3">
        <f t="shared" si="15"/>
        <v>1.9107774385961094E-2</v>
      </c>
      <c r="K129" s="14">
        <f t="shared" si="16"/>
        <v>-2.1386895593387299E-3</v>
      </c>
      <c r="L129" s="9">
        <v>0.3</v>
      </c>
      <c r="M129" s="2">
        <v>0.5</v>
      </c>
      <c r="N129" s="2">
        <v>0</v>
      </c>
      <c r="O129" s="2">
        <v>0.2</v>
      </c>
      <c r="P129" s="8">
        <v>0</v>
      </c>
      <c r="Q129" s="12">
        <f t="shared" si="9"/>
        <v>-3.7149909088554834E-4</v>
      </c>
      <c r="R129" s="3">
        <f t="shared" si="10"/>
        <v>2.7462671469392853E-4</v>
      </c>
      <c r="S129" s="14">
        <f t="shared" si="11"/>
        <v>1.6571865154349059E-2</v>
      </c>
    </row>
    <row r="130" spans="1:19" x14ac:dyDescent="0.35">
      <c r="A130" s="4">
        <v>43627</v>
      </c>
      <c r="B130" s="2">
        <v>37.529998999999997</v>
      </c>
      <c r="C130" s="2">
        <v>22.639336</v>
      </c>
      <c r="D130" s="2">
        <v>39.978413000000003</v>
      </c>
      <c r="E130" s="2">
        <v>53.344631</v>
      </c>
      <c r="F130" s="8">
        <v>1215.2680660000001</v>
      </c>
      <c r="G130" s="12">
        <f t="shared" si="12"/>
        <v>3.1671289689550811E-2</v>
      </c>
      <c r="H130" s="3">
        <f t="shared" si="13"/>
        <v>3.7523708737238473E-3</v>
      </c>
      <c r="I130" s="3">
        <f t="shared" si="14"/>
        <v>4.4477214590718309E-3</v>
      </c>
      <c r="J130" s="3">
        <f t="shared" si="15"/>
        <v>-6.7562515146041262E-3</v>
      </c>
      <c r="K130" s="14">
        <f t="shared" si="16"/>
        <v>1.9684050350022398E-2</v>
      </c>
      <c r="L130" s="9">
        <v>0.2</v>
      </c>
      <c r="M130" s="2">
        <v>0.6</v>
      </c>
      <c r="N130" s="2">
        <v>0</v>
      </c>
      <c r="O130" s="2">
        <v>0.2</v>
      </c>
      <c r="P130" s="8">
        <v>0</v>
      </c>
      <c r="Q130" s="12">
        <f t="shared" si="9"/>
        <v>-2.7124290213612962E-4</v>
      </c>
      <c r="R130" s="3">
        <f t="shared" si="10"/>
        <v>2.5908185500911671E-4</v>
      </c>
      <c r="S130" s="14">
        <f t="shared" si="11"/>
        <v>1.6096019849923045E-2</v>
      </c>
    </row>
    <row r="131" spans="1:19" x14ac:dyDescent="0.35">
      <c r="A131" s="4">
        <v>43628</v>
      </c>
      <c r="B131" s="2">
        <v>38.360000999999997</v>
      </c>
      <c r="C131" s="2">
        <v>22.686440000000001</v>
      </c>
      <c r="D131" s="2">
        <v>39.613715999999997</v>
      </c>
      <c r="E131" s="2">
        <v>54.830222999999997</v>
      </c>
      <c r="F131" s="8">
        <v>1219.025024</v>
      </c>
      <c r="G131" s="12">
        <f t="shared" si="12"/>
        <v>2.1874689582480095E-2</v>
      </c>
      <c r="H131" s="3">
        <f t="shared" si="13"/>
        <v>2.078464887507017E-3</v>
      </c>
      <c r="I131" s="3">
        <f t="shared" si="14"/>
        <v>-9.1642115102077339E-3</v>
      </c>
      <c r="J131" s="3">
        <f t="shared" si="15"/>
        <v>2.7468221141582365E-2</v>
      </c>
      <c r="K131" s="14">
        <f t="shared" si="16"/>
        <v>3.0866956804508957E-3</v>
      </c>
      <c r="L131" s="9">
        <v>0.1</v>
      </c>
      <c r="M131" s="2">
        <v>0.7</v>
      </c>
      <c r="N131" s="2">
        <v>0</v>
      </c>
      <c r="O131" s="2">
        <v>0.2</v>
      </c>
      <c r="P131" s="8">
        <v>0</v>
      </c>
      <c r="Q131" s="12">
        <f t="shared" ref="Q131:Q194" si="17">SUMPRODUCT($U$5:$Y$5,L131:P131)</f>
        <v>-1.7098671338671077E-4</v>
      </c>
      <c r="R131" s="3">
        <f t="shared" ref="R131:R194" si="18">POWER(L131,2)*$V$9+POWER(M131,2)*$W$10+POWER(N131,2)*$X$11+POWER(O131,2)*$Y$12+POWER(P131,2)*$Z$13+2*(L131*M131*$V$10+N131*O131*$X$12+N131*P131*$X$13+$O$3*P131*$Y$13+L131*N131*$V$11+L131*O131*$V$12+L131*P131*$V$13+M131*N131*$W$11+M131*O131*$W$12+M131*P131*$W$13)</f>
        <v>2.6810497540543542E-4</v>
      </c>
      <c r="S131" s="14">
        <f t="shared" si="11"/>
        <v>1.6373911426578423E-2</v>
      </c>
    </row>
    <row r="132" spans="1:19" x14ac:dyDescent="0.35">
      <c r="A132" s="4">
        <v>43629</v>
      </c>
      <c r="B132" s="2">
        <v>37.630001</v>
      </c>
      <c r="C132" s="2">
        <v>22.479174</v>
      </c>
      <c r="D132" s="2">
        <v>38.539344999999997</v>
      </c>
      <c r="E132" s="2">
        <v>53.413043999999999</v>
      </c>
      <c r="F132" s="8">
        <v>1235.358154</v>
      </c>
      <c r="G132" s="12">
        <f t="shared" si="12"/>
        <v>-1.9213644904171562E-2</v>
      </c>
      <c r="H132" s="3">
        <f t="shared" si="13"/>
        <v>-9.1781085923091799E-3</v>
      </c>
      <c r="I132" s="3">
        <f t="shared" si="14"/>
        <v>-2.749575441449114E-2</v>
      </c>
      <c r="J132" s="3">
        <f t="shared" si="15"/>
        <v>-2.6186570724134536E-2</v>
      </c>
      <c r="K132" s="14">
        <f t="shared" si="16"/>
        <v>1.3309552685677241E-2</v>
      </c>
      <c r="L132" s="9">
        <v>0</v>
      </c>
      <c r="M132" s="2">
        <v>0.8</v>
      </c>
      <c r="N132" s="2">
        <v>0</v>
      </c>
      <c r="O132" s="2">
        <v>0.2</v>
      </c>
      <c r="P132" s="8">
        <v>0</v>
      </c>
      <c r="Q132" s="12">
        <f t="shared" si="17"/>
        <v>-7.0730524637291966E-5</v>
      </c>
      <c r="R132" s="3">
        <f t="shared" si="18"/>
        <v>3.0169607588288467E-4</v>
      </c>
      <c r="S132" s="14">
        <f t="shared" ref="S132:S195" si="19">SQRT(R132)</f>
        <v>1.7369400561990753E-2</v>
      </c>
    </row>
    <row r="133" spans="1:19" x14ac:dyDescent="0.35">
      <c r="A133" s="4">
        <v>43630</v>
      </c>
      <c r="B133" s="2">
        <v>37.57</v>
      </c>
      <c r="C133" s="2">
        <v>22.366116000000002</v>
      </c>
      <c r="D133" s="2">
        <v>39.032176999999997</v>
      </c>
      <c r="E133" s="2">
        <v>52.924362000000002</v>
      </c>
      <c r="F133" s="8">
        <v>1234.540894</v>
      </c>
      <c r="G133" s="12">
        <f t="shared" ref="G133:G196" si="20">LN(B133/B132)</f>
        <v>-1.5957715940095906E-3</v>
      </c>
      <c r="H133" s="3">
        <f t="shared" ref="H133:H196" si="21">LN(C133/C132)</f>
        <v>-5.0421455419230538E-3</v>
      </c>
      <c r="I133" s="3">
        <f t="shared" ref="I133:I196" si="22">LN(D133/D132)</f>
        <v>1.2706689731709435E-2</v>
      </c>
      <c r="J133" s="3">
        <f t="shared" ref="J133:J196" si="23">LN(E133/E132)</f>
        <v>-9.1912236463451442E-3</v>
      </c>
      <c r="K133" s="14">
        <f t="shared" ref="K133:K196" si="24">LN(F133/F132)</f>
        <v>-6.6177605962339995E-4</v>
      </c>
      <c r="L133" s="9">
        <v>0.7</v>
      </c>
      <c r="M133" s="2">
        <v>0</v>
      </c>
      <c r="N133" s="2">
        <v>0.1</v>
      </c>
      <c r="O133" s="2">
        <v>0.2</v>
      </c>
      <c r="P133" s="8">
        <v>0</v>
      </c>
      <c r="Q133" s="12">
        <f t="shared" si="17"/>
        <v>-7.280301127006541E-4</v>
      </c>
      <c r="R133" s="3">
        <f t="shared" si="18"/>
        <v>5.7092370865289112E-4</v>
      </c>
      <c r="S133" s="14">
        <f t="shared" si="19"/>
        <v>2.3894009890616751E-2</v>
      </c>
    </row>
    <row r="134" spans="1:19" x14ac:dyDescent="0.35">
      <c r="A134" s="4">
        <v>43633</v>
      </c>
      <c r="B134" s="2">
        <v>38.610000999999997</v>
      </c>
      <c r="C134" s="2">
        <v>22.092901000000001</v>
      </c>
      <c r="D134" s="2">
        <v>39.367302000000002</v>
      </c>
      <c r="E134" s="2">
        <v>52.386809999999997</v>
      </c>
      <c r="F134" s="8">
        <v>1231.322144</v>
      </c>
      <c r="G134" s="12">
        <f t="shared" si="20"/>
        <v>2.7305476590292879E-2</v>
      </c>
      <c r="H134" s="3">
        <f t="shared" si="21"/>
        <v>-1.2290799834753584E-2</v>
      </c>
      <c r="I134" s="3">
        <f t="shared" si="22"/>
        <v>8.5492160263655574E-3</v>
      </c>
      <c r="J134" s="3">
        <f t="shared" si="23"/>
        <v>-1.0208920070185916E-2</v>
      </c>
      <c r="K134" s="14">
        <f t="shared" si="24"/>
        <v>-2.610649317103714E-3</v>
      </c>
      <c r="L134" s="9">
        <v>0.6</v>
      </c>
      <c r="M134" s="2">
        <v>0.1</v>
      </c>
      <c r="N134" s="2">
        <v>0.1</v>
      </c>
      <c r="O134" s="2">
        <v>0.2</v>
      </c>
      <c r="P134" s="8">
        <v>0</v>
      </c>
      <c r="Q134" s="12">
        <f t="shared" si="17"/>
        <v>-6.2777392395123527E-4</v>
      </c>
      <c r="R134" s="3">
        <f t="shared" si="18"/>
        <v>4.5281323668636662E-4</v>
      </c>
      <c r="S134" s="14">
        <f t="shared" si="19"/>
        <v>2.1279408748514764E-2</v>
      </c>
    </row>
    <row r="135" spans="1:19" x14ac:dyDescent="0.35">
      <c r="A135" s="4">
        <v>43634</v>
      </c>
      <c r="B135" s="2">
        <v>38.810001</v>
      </c>
      <c r="C135" s="2">
        <v>21.951581999999998</v>
      </c>
      <c r="D135" s="2">
        <v>39.515152</v>
      </c>
      <c r="E135" s="2">
        <v>51.995865000000002</v>
      </c>
      <c r="F135" s="8">
        <v>1228.432129</v>
      </c>
      <c r="G135" s="12">
        <f t="shared" si="20"/>
        <v>5.1666349711991895E-3</v>
      </c>
      <c r="H135" s="3">
        <f t="shared" si="21"/>
        <v>-6.4171253845100888E-3</v>
      </c>
      <c r="I135" s="3">
        <f t="shared" si="22"/>
        <v>3.748620019711432E-3</v>
      </c>
      <c r="J135" s="3">
        <f t="shared" si="23"/>
        <v>-7.490645894726213E-3</v>
      </c>
      <c r="K135" s="14">
        <f t="shared" si="24"/>
        <v>-2.3498414955935303E-3</v>
      </c>
      <c r="L135" s="9">
        <v>0.5</v>
      </c>
      <c r="M135" s="2">
        <v>0.2</v>
      </c>
      <c r="N135" s="2">
        <v>0.1</v>
      </c>
      <c r="O135" s="2">
        <v>0.2</v>
      </c>
      <c r="P135" s="8">
        <v>0</v>
      </c>
      <c r="Q135" s="12">
        <f t="shared" si="17"/>
        <v>-5.2751773520181655E-4</v>
      </c>
      <c r="R135" s="3">
        <f t="shared" si="18"/>
        <v>3.5927074480097249E-4</v>
      </c>
      <c r="S135" s="14">
        <f t="shared" si="19"/>
        <v>1.8954438656973528E-2</v>
      </c>
    </row>
    <row r="136" spans="1:19" x14ac:dyDescent="0.35">
      <c r="A136" s="4">
        <v>43635</v>
      </c>
      <c r="B136" s="2">
        <v>38.779998999999997</v>
      </c>
      <c r="C136" s="2">
        <v>22.432064</v>
      </c>
      <c r="D136" s="2">
        <v>40.165688000000003</v>
      </c>
      <c r="E136" s="2">
        <v>52.963455000000003</v>
      </c>
      <c r="F136" s="8">
        <v>1232.7172849999999</v>
      </c>
      <c r="G136" s="12">
        <f t="shared" si="20"/>
        <v>-7.7334711935218056E-4</v>
      </c>
      <c r="H136" s="3">
        <f t="shared" si="21"/>
        <v>2.1652154098164046E-2</v>
      </c>
      <c r="I136" s="3">
        <f t="shared" si="22"/>
        <v>1.6328905530480303E-2</v>
      </c>
      <c r="J136" s="3">
        <f t="shared" si="23"/>
        <v>1.8437951227423838E-2</v>
      </c>
      <c r="K136" s="14">
        <f t="shared" si="24"/>
        <v>3.4822431387379624E-3</v>
      </c>
      <c r="L136" s="9">
        <v>0.4</v>
      </c>
      <c r="M136" s="2">
        <v>0.3</v>
      </c>
      <c r="N136" s="2">
        <v>0.1</v>
      </c>
      <c r="O136" s="2">
        <v>0.2</v>
      </c>
      <c r="P136" s="8">
        <v>0</v>
      </c>
      <c r="Q136" s="12">
        <f t="shared" si="17"/>
        <v>-4.2726154645239761E-4</v>
      </c>
      <c r="R136" s="3">
        <f t="shared" si="18"/>
        <v>2.902962329967089E-4</v>
      </c>
      <c r="S136" s="14">
        <f t="shared" si="19"/>
        <v>1.7038081846167688E-2</v>
      </c>
    </row>
    <row r="137" spans="1:19" x14ac:dyDescent="0.35">
      <c r="A137" s="4">
        <v>43636</v>
      </c>
      <c r="B137" s="2">
        <v>39.610000999999997</v>
      </c>
      <c r="C137" s="2">
        <v>22.479174</v>
      </c>
      <c r="D137" s="2">
        <v>39.899559000000004</v>
      </c>
      <c r="E137" s="2">
        <v>52.191338000000002</v>
      </c>
      <c r="F137" s="8">
        <v>1228.900635</v>
      </c>
      <c r="G137" s="12">
        <f t="shared" si="20"/>
        <v>2.117701285195733E-2</v>
      </c>
      <c r="H137" s="3">
        <f t="shared" si="21"/>
        <v>2.0979166630227062E-3</v>
      </c>
      <c r="I137" s="3">
        <f t="shared" si="22"/>
        <v>-6.6478276173787716E-3</v>
      </c>
      <c r="J137" s="3">
        <f t="shared" si="23"/>
        <v>-1.4685604994334266E-2</v>
      </c>
      <c r="K137" s="14">
        <f t="shared" si="24"/>
        <v>-3.1009305118604854E-3</v>
      </c>
      <c r="L137" s="9">
        <v>0.3</v>
      </c>
      <c r="M137" s="2">
        <v>0.4</v>
      </c>
      <c r="N137" s="2">
        <v>0.1</v>
      </c>
      <c r="O137" s="2">
        <v>0.2</v>
      </c>
      <c r="P137" s="8">
        <v>0</v>
      </c>
      <c r="Q137" s="12">
        <f t="shared" si="17"/>
        <v>-3.2700535770297873E-4</v>
      </c>
      <c r="R137" s="3">
        <f t="shared" si="18"/>
        <v>2.4588970127357567E-4</v>
      </c>
      <c r="S137" s="14">
        <f t="shared" si="19"/>
        <v>1.5680870552159266E-2</v>
      </c>
    </row>
    <row r="138" spans="1:19" x14ac:dyDescent="0.35">
      <c r="A138" s="4">
        <v>43637</v>
      </c>
      <c r="B138" s="2">
        <v>39.700001</v>
      </c>
      <c r="C138" s="2">
        <v>22.450908999999999</v>
      </c>
      <c r="D138" s="2">
        <v>39.446156000000002</v>
      </c>
      <c r="E138" s="2">
        <v>51.653785999999997</v>
      </c>
      <c r="F138" s="8">
        <v>1213.6137699999999</v>
      </c>
      <c r="G138" s="12">
        <f t="shared" si="20"/>
        <v>2.2695760020864319E-3</v>
      </c>
      <c r="H138" s="3">
        <f t="shared" si="21"/>
        <v>-1.2581772318848725E-3</v>
      </c>
      <c r="I138" s="3">
        <f t="shared" si="22"/>
        <v>-1.1428668456051901E-2</v>
      </c>
      <c r="J138" s="3">
        <f t="shared" si="23"/>
        <v>-1.0353048477810782E-2</v>
      </c>
      <c r="K138" s="14">
        <f t="shared" si="24"/>
        <v>-1.2517481635354577E-2</v>
      </c>
      <c r="L138" s="9">
        <v>0.2</v>
      </c>
      <c r="M138" s="2">
        <v>0.5</v>
      </c>
      <c r="N138" s="2">
        <v>0.1</v>
      </c>
      <c r="O138" s="2">
        <v>0.2</v>
      </c>
      <c r="P138" s="8">
        <v>0</v>
      </c>
      <c r="Q138" s="12">
        <f t="shared" si="17"/>
        <v>-2.2674916895355996E-4</v>
      </c>
      <c r="R138" s="3">
        <f t="shared" si="18"/>
        <v>2.2605114963157304E-4</v>
      </c>
      <c r="S138" s="14">
        <f t="shared" si="19"/>
        <v>1.5034997493567235E-2</v>
      </c>
    </row>
    <row r="139" spans="1:19" x14ac:dyDescent="0.35">
      <c r="A139" s="4">
        <v>43640</v>
      </c>
      <c r="B139" s="2">
        <v>39.360000999999997</v>
      </c>
      <c r="C139" s="2">
        <v>22.592226</v>
      </c>
      <c r="D139" s="2">
        <v>40.382534</v>
      </c>
      <c r="E139" s="2">
        <v>51.253062999999997</v>
      </c>
      <c r="F139" s="8">
        <v>1224.6154790000001</v>
      </c>
      <c r="G139" s="12">
        <f t="shared" si="20"/>
        <v>-8.6011152915049967E-3</v>
      </c>
      <c r="H139" s="3">
        <f t="shared" si="21"/>
        <v>6.2747614555785066E-3</v>
      </c>
      <c r="I139" s="3">
        <f t="shared" si="22"/>
        <v>2.3460762007179337E-2</v>
      </c>
      <c r="J139" s="3">
        <f t="shared" si="23"/>
        <v>-7.7881118578468243E-3</v>
      </c>
      <c r="K139" s="14">
        <f t="shared" si="24"/>
        <v>9.0244046323631737E-3</v>
      </c>
      <c r="L139" s="9">
        <v>0.1</v>
      </c>
      <c r="M139" s="2">
        <v>0.6</v>
      </c>
      <c r="N139" s="2">
        <v>0.1</v>
      </c>
      <c r="O139" s="2">
        <v>0.2</v>
      </c>
      <c r="P139" s="8">
        <v>0</v>
      </c>
      <c r="Q139" s="12">
        <f t="shared" si="17"/>
        <v>-1.2649298020414116E-4</v>
      </c>
      <c r="R139" s="3">
        <f t="shared" si="18"/>
        <v>2.3078057807070083E-4</v>
      </c>
      <c r="S139" s="14">
        <f t="shared" si="19"/>
        <v>1.5191463987078428E-2</v>
      </c>
    </row>
    <row r="140" spans="1:19" x14ac:dyDescent="0.35">
      <c r="A140" s="4">
        <v>43641</v>
      </c>
      <c r="B140" s="2">
        <v>39.459999000000003</v>
      </c>
      <c r="C140" s="2">
        <v>22.601649999999999</v>
      </c>
      <c r="D140" s="2">
        <v>40.481098000000003</v>
      </c>
      <c r="E140" s="2">
        <v>52.181564000000002</v>
      </c>
      <c r="F140" s="8">
        <v>1237.7298579999999</v>
      </c>
      <c r="G140" s="12">
        <f t="shared" si="20"/>
        <v>2.5373776617940167E-3</v>
      </c>
      <c r="H140" s="3">
        <f t="shared" si="21"/>
        <v>4.1704766090826934E-4</v>
      </c>
      <c r="I140" s="3">
        <f t="shared" si="22"/>
        <v>2.4377843629906971E-3</v>
      </c>
      <c r="J140" s="3">
        <f t="shared" si="23"/>
        <v>1.7953870342924127E-2</v>
      </c>
      <c r="K140" s="14">
        <f t="shared" si="24"/>
        <v>1.0652042023279613E-2</v>
      </c>
      <c r="L140" s="9">
        <v>0</v>
      </c>
      <c r="M140" s="2">
        <v>0.7</v>
      </c>
      <c r="N140" s="2">
        <v>0.1</v>
      </c>
      <c r="O140" s="2">
        <v>0.2</v>
      </c>
      <c r="P140" s="8">
        <v>0</v>
      </c>
      <c r="Q140" s="12">
        <f t="shared" si="17"/>
        <v>-2.6236791454722334E-5</v>
      </c>
      <c r="R140" s="3">
        <f t="shared" si="18"/>
        <v>2.6007798659095915E-4</v>
      </c>
      <c r="S140" s="14">
        <f t="shared" si="19"/>
        <v>1.6126933576813638E-2</v>
      </c>
    </row>
    <row r="141" spans="1:19" x14ac:dyDescent="0.35">
      <c r="A141" s="4">
        <v>43642</v>
      </c>
      <c r="B141" s="2">
        <v>39.509998000000003</v>
      </c>
      <c r="C141" s="2">
        <v>22.592226</v>
      </c>
      <c r="D141" s="2">
        <v>40.510666000000001</v>
      </c>
      <c r="E141" s="2">
        <v>52.337940000000003</v>
      </c>
      <c r="F141" s="8">
        <v>1246.638794</v>
      </c>
      <c r="G141" s="12">
        <f t="shared" si="20"/>
        <v>1.2662785508515371E-3</v>
      </c>
      <c r="H141" s="3">
        <f t="shared" si="21"/>
        <v>-4.1704766090841554E-4</v>
      </c>
      <c r="I141" s="3">
        <f t="shared" si="22"/>
        <v>7.3014834727138701E-4</v>
      </c>
      <c r="J141" s="3">
        <f t="shared" si="23"/>
        <v>2.9922858546975453E-3</v>
      </c>
      <c r="K141" s="14">
        <f t="shared" si="24"/>
        <v>7.1720227035406365E-3</v>
      </c>
      <c r="L141" s="9">
        <v>0.6</v>
      </c>
      <c r="M141" s="2">
        <v>0</v>
      </c>
      <c r="N141" s="2">
        <v>0.2</v>
      </c>
      <c r="O141" s="2">
        <v>0.2</v>
      </c>
      <c r="P141" s="8">
        <v>0</v>
      </c>
      <c r="Q141" s="12">
        <f t="shared" si="17"/>
        <v>-5.8328019076866555E-4</v>
      </c>
      <c r="R141" s="3">
        <f t="shared" si="18"/>
        <v>4.5115583310752726E-4</v>
      </c>
      <c r="S141" s="14">
        <f t="shared" si="19"/>
        <v>2.1240429211942195E-2</v>
      </c>
    </row>
    <row r="142" spans="1:19" x14ac:dyDescent="0.35">
      <c r="A142" s="4">
        <v>43643</v>
      </c>
      <c r="B142" s="2">
        <v>38.479999999999997</v>
      </c>
      <c r="C142" s="2">
        <v>22.695862000000002</v>
      </c>
      <c r="D142" s="2">
        <v>40.382534</v>
      </c>
      <c r="E142" s="2">
        <v>51.907902</v>
      </c>
      <c r="F142" s="8">
        <v>1251.4521480000001</v>
      </c>
      <c r="G142" s="12">
        <f t="shared" si="20"/>
        <v>-2.6415128005696363E-2</v>
      </c>
      <c r="H142" s="3">
        <f t="shared" si="21"/>
        <v>4.5767523196073075E-3</v>
      </c>
      <c r="I142" s="3">
        <f t="shared" si="22"/>
        <v>-3.1679327102620224E-3</v>
      </c>
      <c r="J142" s="3">
        <f t="shared" si="23"/>
        <v>-8.2505053663023062E-3</v>
      </c>
      <c r="K142" s="14">
        <f t="shared" si="24"/>
        <v>3.853630687166992E-3</v>
      </c>
      <c r="L142" s="9">
        <v>0.5</v>
      </c>
      <c r="M142" s="2">
        <v>0.1</v>
      </c>
      <c r="N142" s="2">
        <v>0.2</v>
      </c>
      <c r="O142" s="2">
        <v>0.2</v>
      </c>
      <c r="P142" s="8">
        <v>0</v>
      </c>
      <c r="Q142" s="12">
        <f t="shared" si="17"/>
        <v>-4.8302400201924678E-4</v>
      </c>
      <c r="R142" s="3">
        <f t="shared" si="18"/>
        <v>3.5331964926494221E-4</v>
      </c>
      <c r="S142" s="14">
        <f t="shared" si="19"/>
        <v>1.879679891005227E-2</v>
      </c>
    </row>
    <row r="143" spans="1:19" x14ac:dyDescent="0.35">
      <c r="A143" s="4">
        <v>43644</v>
      </c>
      <c r="B143" s="2">
        <v>37.779998999999997</v>
      </c>
      <c r="C143" s="2">
        <v>22.224798</v>
      </c>
      <c r="D143" s="2">
        <v>39.456009000000002</v>
      </c>
      <c r="E143" s="2">
        <v>51.213970000000003</v>
      </c>
      <c r="F143" s="8">
        <v>1251.6513669999999</v>
      </c>
      <c r="G143" s="12">
        <f t="shared" si="20"/>
        <v>-1.8358790193173824E-2</v>
      </c>
      <c r="H143" s="3">
        <f t="shared" si="21"/>
        <v>-2.0973924626708097E-2</v>
      </c>
      <c r="I143" s="3">
        <f t="shared" si="22"/>
        <v>-2.3211009670187972E-2</v>
      </c>
      <c r="J143" s="3">
        <f t="shared" si="23"/>
        <v>-1.345868652684388E-2</v>
      </c>
      <c r="K143" s="14">
        <f t="shared" si="24"/>
        <v>1.5917759631337944E-4</v>
      </c>
      <c r="L143" s="9">
        <v>0.4</v>
      </c>
      <c r="M143" s="2">
        <v>0.2</v>
      </c>
      <c r="N143" s="2">
        <v>0.2</v>
      </c>
      <c r="O143" s="2">
        <v>0.2</v>
      </c>
      <c r="P143" s="8">
        <v>0</v>
      </c>
      <c r="Q143" s="12">
        <f t="shared" si="17"/>
        <v>-3.82767813269828E-4</v>
      </c>
      <c r="R143" s="3">
        <f t="shared" si="18"/>
        <v>2.8005144550348774E-4</v>
      </c>
      <c r="S143" s="14">
        <f t="shared" si="19"/>
        <v>1.6734737688517493E-2</v>
      </c>
    </row>
    <row r="144" spans="1:19" x14ac:dyDescent="0.35">
      <c r="A144" s="4">
        <v>43647</v>
      </c>
      <c r="B144" s="2">
        <v>37.610000999999997</v>
      </c>
      <c r="C144" s="2">
        <v>22.064636</v>
      </c>
      <c r="D144" s="2">
        <v>39.534866000000001</v>
      </c>
      <c r="E144" s="2">
        <v>52.943908999999998</v>
      </c>
      <c r="F144" s="8">
        <v>1238.327759</v>
      </c>
      <c r="G144" s="12">
        <f t="shared" si="20"/>
        <v>-4.509836533413988E-3</v>
      </c>
      <c r="H144" s="3">
        <f t="shared" si="21"/>
        <v>-7.2325466235873617E-3</v>
      </c>
      <c r="I144" s="3">
        <f t="shared" si="22"/>
        <v>1.9966110312529244E-3</v>
      </c>
      <c r="J144" s="3">
        <f t="shared" si="23"/>
        <v>3.322068598981523E-2</v>
      </c>
      <c r="K144" s="14">
        <f t="shared" si="24"/>
        <v>-1.0701885026865497E-2</v>
      </c>
      <c r="L144" s="9">
        <v>0.3</v>
      </c>
      <c r="M144" s="2">
        <v>0.3</v>
      </c>
      <c r="N144" s="2">
        <v>0.2</v>
      </c>
      <c r="O144" s="2">
        <v>0.2</v>
      </c>
      <c r="P144" s="8">
        <v>0</v>
      </c>
      <c r="Q144" s="12">
        <f t="shared" si="17"/>
        <v>-2.8251162452040918E-4</v>
      </c>
      <c r="R144" s="3">
        <f t="shared" si="18"/>
        <v>2.3135122182316368E-4</v>
      </c>
      <c r="S144" s="14">
        <f t="shared" si="19"/>
        <v>1.5210234114673043E-2</v>
      </c>
    </row>
    <row r="145" spans="1:19" x14ac:dyDescent="0.35">
      <c r="A145" s="4">
        <v>43648</v>
      </c>
      <c r="B145" s="2">
        <v>37.32</v>
      </c>
      <c r="C145" s="2">
        <v>22.036373000000001</v>
      </c>
      <c r="D145" s="2">
        <v>39.850276999999998</v>
      </c>
      <c r="E145" s="2">
        <v>52.572510000000001</v>
      </c>
      <c r="F145" s="8">
        <v>1250.1365969999999</v>
      </c>
      <c r="G145" s="12">
        <f t="shared" si="20"/>
        <v>-7.7406230917746793E-3</v>
      </c>
      <c r="H145" s="3">
        <f t="shared" si="21"/>
        <v>-1.2817395569945703E-3</v>
      </c>
      <c r="I145" s="3">
        <f t="shared" si="22"/>
        <v>7.9463901632142609E-3</v>
      </c>
      <c r="J145" s="3">
        <f t="shared" si="23"/>
        <v>-7.0396728263408563E-3</v>
      </c>
      <c r="K145" s="14">
        <f t="shared" si="24"/>
        <v>9.4909349328510233E-3</v>
      </c>
      <c r="L145" s="9">
        <v>0.2</v>
      </c>
      <c r="M145" s="2">
        <v>0.4</v>
      </c>
      <c r="N145" s="2">
        <v>0.2</v>
      </c>
      <c r="O145" s="2">
        <v>0.2</v>
      </c>
      <c r="P145" s="8">
        <v>0</v>
      </c>
      <c r="Q145" s="12">
        <f t="shared" si="17"/>
        <v>-1.8225543577099035E-4</v>
      </c>
      <c r="R145" s="3">
        <f t="shared" si="18"/>
        <v>2.0721897822397018E-4</v>
      </c>
      <c r="S145" s="14">
        <f t="shared" si="19"/>
        <v>1.4395102577750885E-2</v>
      </c>
    </row>
    <row r="146" spans="1:19" x14ac:dyDescent="0.35">
      <c r="A146" s="4">
        <v>43649</v>
      </c>
      <c r="B146" s="2">
        <v>37.400002000000001</v>
      </c>
      <c r="C146" s="2">
        <v>22.356694999999998</v>
      </c>
      <c r="D146" s="2">
        <v>39.919272999999997</v>
      </c>
      <c r="E146" s="2">
        <v>51.839489</v>
      </c>
      <c r="F146" s="8">
        <v>1257.859741</v>
      </c>
      <c r="G146" s="12">
        <f t="shared" si="20"/>
        <v>2.1413819172776223E-3</v>
      </c>
      <c r="H146" s="3">
        <f t="shared" si="21"/>
        <v>1.4431422461180256E-2</v>
      </c>
      <c r="I146" s="3">
        <f t="shared" si="22"/>
        <v>1.729883576022728E-3</v>
      </c>
      <c r="J146" s="3">
        <f t="shared" si="23"/>
        <v>-1.4041164811868821E-2</v>
      </c>
      <c r="K146" s="14">
        <f t="shared" si="24"/>
        <v>6.1588354778234957E-3</v>
      </c>
      <c r="L146" s="9">
        <v>0.1</v>
      </c>
      <c r="M146" s="2">
        <v>0.5</v>
      </c>
      <c r="N146" s="2">
        <v>0.2</v>
      </c>
      <c r="O146" s="2">
        <v>0.2</v>
      </c>
      <c r="P146" s="8">
        <v>0</v>
      </c>
      <c r="Q146" s="12">
        <f t="shared" si="17"/>
        <v>-8.1999247021571572E-5</v>
      </c>
      <c r="R146" s="3">
        <f t="shared" si="18"/>
        <v>2.0765471470590707E-4</v>
      </c>
      <c r="S146" s="14">
        <f t="shared" si="19"/>
        <v>1.4410229516073195E-2</v>
      </c>
    </row>
    <row r="147" spans="1:19" x14ac:dyDescent="0.35">
      <c r="A147" s="4">
        <v>43650</v>
      </c>
      <c r="B147" s="2">
        <v>37.759998000000003</v>
      </c>
      <c r="C147" s="2">
        <v>22.432064</v>
      </c>
      <c r="D147" s="2">
        <v>39.751713000000002</v>
      </c>
      <c r="E147" s="2">
        <v>52.758209000000001</v>
      </c>
      <c r="F147" s="8">
        <v>1261.9255370000001</v>
      </c>
      <c r="G147" s="12">
        <f t="shared" si="20"/>
        <v>9.5795304147762456E-3</v>
      </c>
      <c r="H147" s="3">
        <f t="shared" si="21"/>
        <v>3.3655351397861395E-3</v>
      </c>
      <c r="I147" s="3">
        <f t="shared" si="22"/>
        <v>-4.2063053431582427E-3</v>
      </c>
      <c r="J147" s="3">
        <f t="shared" si="23"/>
        <v>1.7567186359237895E-2</v>
      </c>
      <c r="K147" s="14">
        <f t="shared" si="24"/>
        <v>3.2270999945828971E-3</v>
      </c>
      <c r="L147" s="9">
        <v>0</v>
      </c>
      <c r="M147" s="2">
        <v>0.6</v>
      </c>
      <c r="N147" s="2">
        <v>0.2</v>
      </c>
      <c r="O147" s="2">
        <v>0.2</v>
      </c>
      <c r="P147" s="8">
        <v>0</v>
      </c>
      <c r="Q147" s="12">
        <f t="shared" si="17"/>
        <v>1.8256941727847263E-5</v>
      </c>
      <c r="R147" s="3">
        <f t="shared" si="18"/>
        <v>2.3265843126897448E-4</v>
      </c>
      <c r="S147" s="14">
        <f t="shared" si="19"/>
        <v>1.5253144963219044E-2</v>
      </c>
    </row>
    <row r="148" spans="1:19" x14ac:dyDescent="0.35">
      <c r="A148" s="4">
        <v>43651</v>
      </c>
      <c r="B148" s="2">
        <v>37.119999</v>
      </c>
      <c r="C148" s="2">
        <v>22.413225000000001</v>
      </c>
      <c r="D148" s="2">
        <v>39.672854999999998</v>
      </c>
      <c r="E148" s="2">
        <v>52.680019000000001</v>
      </c>
      <c r="F148" s="8">
        <v>1247.9343260000001</v>
      </c>
      <c r="G148" s="12">
        <f t="shared" si="20"/>
        <v>-1.7094407332852644E-2</v>
      </c>
      <c r="H148" s="3">
        <f t="shared" si="21"/>
        <v>-8.4017748701323541E-4</v>
      </c>
      <c r="I148" s="3">
        <f t="shared" si="22"/>
        <v>-1.98573383269368E-3</v>
      </c>
      <c r="J148" s="3">
        <f t="shared" si="23"/>
        <v>-1.4831435583870518E-3</v>
      </c>
      <c r="K148" s="14">
        <f t="shared" si="24"/>
        <v>-1.1149113251113636E-2</v>
      </c>
      <c r="L148" s="9">
        <v>0.5</v>
      </c>
      <c r="M148" s="2">
        <v>0</v>
      </c>
      <c r="N148" s="2">
        <v>0.3</v>
      </c>
      <c r="O148" s="2">
        <v>0.2</v>
      </c>
      <c r="P148" s="8">
        <v>0</v>
      </c>
      <c r="Q148" s="12">
        <f t="shared" si="17"/>
        <v>-4.3853026883667717E-4</v>
      </c>
      <c r="R148" s="3">
        <f t="shared" si="18"/>
        <v>3.6156708769885277E-4</v>
      </c>
      <c r="S148" s="14">
        <f t="shared" si="19"/>
        <v>1.9014917504392513E-2</v>
      </c>
    </row>
    <row r="149" spans="1:19" x14ac:dyDescent="0.35">
      <c r="A149" s="4">
        <v>43654</v>
      </c>
      <c r="B149" s="2">
        <v>37.540000999999997</v>
      </c>
      <c r="C149" s="2">
        <v>22.441486000000001</v>
      </c>
      <c r="D149" s="2">
        <v>39.485579999999999</v>
      </c>
      <c r="E149" s="2">
        <v>53.413043999999999</v>
      </c>
      <c r="F149" s="8">
        <v>1249.498779</v>
      </c>
      <c r="G149" s="12">
        <f t="shared" si="20"/>
        <v>1.1251176818270585E-2</v>
      </c>
      <c r="H149" s="3">
        <f t="shared" si="21"/>
        <v>1.2601130677042814E-3</v>
      </c>
      <c r="I149" s="3">
        <f t="shared" si="22"/>
        <v>-4.7316587146238433E-3</v>
      </c>
      <c r="J149" s="3">
        <f t="shared" si="23"/>
        <v>1.3818748256893344E-2</v>
      </c>
      <c r="K149" s="14">
        <f t="shared" si="24"/>
        <v>1.2528489363756534E-3</v>
      </c>
      <c r="L149" s="9">
        <v>0.4</v>
      </c>
      <c r="M149" s="2">
        <v>0.1</v>
      </c>
      <c r="N149" s="2">
        <v>0.3</v>
      </c>
      <c r="O149" s="2">
        <v>0.2</v>
      </c>
      <c r="P149" s="8">
        <v>0</v>
      </c>
      <c r="Q149" s="12">
        <f t="shared" si="17"/>
        <v>-3.3827408008725834E-4</v>
      </c>
      <c r="R149" s="3">
        <f t="shared" si="18"/>
        <v>2.8400519198020744E-4</v>
      </c>
      <c r="S149" s="14">
        <f t="shared" si="19"/>
        <v>1.6852453589320679E-2</v>
      </c>
    </row>
    <row r="150" spans="1:19" x14ac:dyDescent="0.35">
      <c r="A150" s="4">
        <v>43655</v>
      </c>
      <c r="B150" s="2">
        <v>36.939999</v>
      </c>
      <c r="C150" s="2">
        <v>22.253063000000001</v>
      </c>
      <c r="D150" s="2">
        <v>39.495438</v>
      </c>
      <c r="E150" s="2">
        <v>51.253062999999997</v>
      </c>
      <c r="F150" s="8">
        <v>1259.005737</v>
      </c>
      <c r="G150" s="12">
        <f t="shared" si="20"/>
        <v>-1.6112110096447106E-2</v>
      </c>
      <c r="H150" s="3">
        <f t="shared" si="21"/>
        <v>-8.4316374369207258E-3</v>
      </c>
      <c r="I150" s="3">
        <f t="shared" si="22"/>
        <v>2.496296021707401E-4</v>
      </c>
      <c r="J150" s="3">
        <f t="shared" si="23"/>
        <v>-4.1279603713825226E-2</v>
      </c>
      <c r="K150" s="14">
        <f t="shared" si="24"/>
        <v>7.5798177414157005E-3</v>
      </c>
      <c r="L150" s="9">
        <v>0.3</v>
      </c>
      <c r="M150" s="2">
        <v>0.2</v>
      </c>
      <c r="N150" s="2">
        <v>0.3</v>
      </c>
      <c r="O150" s="2">
        <v>0.2</v>
      </c>
      <c r="P150" s="8">
        <v>0</v>
      </c>
      <c r="Q150" s="12">
        <f t="shared" si="17"/>
        <v>-2.3801789133783951E-4</v>
      </c>
      <c r="R150" s="3">
        <f t="shared" si="18"/>
        <v>2.3101127634269248E-4</v>
      </c>
      <c r="S150" s="14">
        <f t="shared" si="19"/>
        <v>1.5199055113482959E-2</v>
      </c>
    </row>
    <row r="151" spans="1:19" x14ac:dyDescent="0.35">
      <c r="A151" s="4">
        <v>43656</v>
      </c>
      <c r="B151" s="2">
        <v>36.990001999999997</v>
      </c>
      <c r="C151" s="2">
        <v>22.413225000000001</v>
      </c>
      <c r="D151" s="2">
        <v>39.436295000000001</v>
      </c>
      <c r="E151" s="2">
        <v>52.230431000000003</v>
      </c>
      <c r="F151" s="8">
        <v>1265.7919919999999</v>
      </c>
      <c r="G151" s="12">
        <f t="shared" si="20"/>
        <v>1.3527122128605166E-3</v>
      </c>
      <c r="H151" s="3">
        <f t="shared" si="21"/>
        <v>7.1715243692162126E-3</v>
      </c>
      <c r="I151" s="3">
        <f t="shared" si="22"/>
        <v>-1.4985864067730652E-3</v>
      </c>
      <c r="J151" s="3">
        <f t="shared" si="23"/>
        <v>1.8889912290365216E-2</v>
      </c>
      <c r="K151" s="14">
        <f t="shared" si="24"/>
        <v>5.3756950622481413E-3</v>
      </c>
      <c r="L151" s="9">
        <v>0.2</v>
      </c>
      <c r="M151" s="2">
        <v>0.3</v>
      </c>
      <c r="N151" s="2">
        <v>0.3</v>
      </c>
      <c r="O151" s="2">
        <v>0.2</v>
      </c>
      <c r="P151" s="8">
        <v>0</v>
      </c>
      <c r="Q151" s="12">
        <f t="shared" si="17"/>
        <v>-1.3776170258842074E-4</v>
      </c>
      <c r="R151" s="3">
        <f t="shared" si="18"/>
        <v>2.0258534078630805E-4</v>
      </c>
      <c r="S151" s="14">
        <f t="shared" si="19"/>
        <v>1.423324772447624E-2</v>
      </c>
    </row>
    <row r="152" spans="1:19" x14ac:dyDescent="0.35">
      <c r="A152" s="4">
        <v>43657</v>
      </c>
      <c r="B152" s="2">
        <v>38.07</v>
      </c>
      <c r="C152" s="2">
        <v>22.337854</v>
      </c>
      <c r="D152" s="2">
        <v>39.791134</v>
      </c>
      <c r="E152" s="2">
        <v>52.621380000000002</v>
      </c>
      <c r="F152" s="8">
        <v>1258.178711</v>
      </c>
      <c r="G152" s="12">
        <f t="shared" si="20"/>
        <v>2.877891048137779E-2</v>
      </c>
      <c r="H152" s="3">
        <f t="shared" si="21"/>
        <v>-3.3684582785804139E-3</v>
      </c>
      <c r="I152" s="3">
        <f t="shared" si="22"/>
        <v>8.9575384962420224E-3</v>
      </c>
      <c r="J152" s="3">
        <f t="shared" si="23"/>
        <v>7.4572066612926839E-3</v>
      </c>
      <c r="K152" s="14">
        <f t="shared" si="24"/>
        <v>-6.0327990980014482E-3</v>
      </c>
      <c r="L152" s="9">
        <v>0.1</v>
      </c>
      <c r="M152" s="2">
        <v>0.4</v>
      </c>
      <c r="N152" s="2">
        <v>0.3</v>
      </c>
      <c r="O152" s="2">
        <v>0.2</v>
      </c>
      <c r="P152" s="8">
        <v>0</v>
      </c>
      <c r="Q152" s="12">
        <f t="shared" si="17"/>
        <v>-3.7505513839001927E-5</v>
      </c>
      <c r="R152" s="3">
        <f t="shared" si="18"/>
        <v>1.9872738531105414E-4</v>
      </c>
      <c r="S152" s="14">
        <f t="shared" si="19"/>
        <v>1.4097070096692225E-2</v>
      </c>
    </row>
    <row r="153" spans="1:19" x14ac:dyDescent="0.35">
      <c r="A153" s="4">
        <v>43658</v>
      </c>
      <c r="B153" s="2">
        <v>37.93</v>
      </c>
      <c r="C153" s="2">
        <v>22.253063000000001</v>
      </c>
      <c r="D153" s="2">
        <v>39.731997999999997</v>
      </c>
      <c r="E153" s="2">
        <v>52.425907000000002</v>
      </c>
      <c r="F153" s="8">
        <v>1253.634399</v>
      </c>
      <c r="G153" s="12">
        <f t="shared" si="20"/>
        <v>-3.6842146935984576E-3</v>
      </c>
      <c r="H153" s="3">
        <f t="shared" si="21"/>
        <v>-3.8030660906358945E-3</v>
      </c>
      <c r="I153" s="3">
        <f t="shared" si="22"/>
        <v>-1.4872656399029906E-3</v>
      </c>
      <c r="J153" s="3">
        <f t="shared" si="23"/>
        <v>-3.7216234935455914E-3</v>
      </c>
      <c r="K153" s="14">
        <f t="shared" si="24"/>
        <v>-3.6183559516755077E-3</v>
      </c>
      <c r="L153" s="9">
        <v>0</v>
      </c>
      <c r="M153" s="2">
        <v>0.5</v>
      </c>
      <c r="N153" s="2">
        <v>0.3</v>
      </c>
      <c r="O153" s="2">
        <v>0.2</v>
      </c>
      <c r="P153" s="8">
        <v>0</v>
      </c>
      <c r="Q153" s="12">
        <f t="shared" si="17"/>
        <v>6.2750674910416868E-5</v>
      </c>
      <c r="R153" s="3">
        <f t="shared" si="18"/>
        <v>2.1943740991693065E-4</v>
      </c>
      <c r="S153" s="14">
        <f t="shared" si="19"/>
        <v>1.4813419926435983E-2</v>
      </c>
    </row>
    <row r="154" spans="1:19" x14ac:dyDescent="0.35">
      <c r="A154" s="4">
        <v>43661</v>
      </c>
      <c r="B154" s="2">
        <v>38.310001</v>
      </c>
      <c r="C154" s="2">
        <v>22.450908999999999</v>
      </c>
      <c r="D154" s="2">
        <v>39.929127000000001</v>
      </c>
      <c r="E154" s="2">
        <v>53.657387</v>
      </c>
      <c r="F154" s="8">
        <v>1242.4533690000001</v>
      </c>
      <c r="G154" s="12">
        <f t="shared" si="20"/>
        <v>9.9686291145949096E-3</v>
      </c>
      <c r="H154" s="3">
        <f t="shared" si="21"/>
        <v>8.8514412873673589E-3</v>
      </c>
      <c r="I154" s="3">
        <f t="shared" si="22"/>
        <v>4.949199559570649E-3</v>
      </c>
      <c r="J154" s="3">
        <f t="shared" si="23"/>
        <v>2.3218270777310219E-2</v>
      </c>
      <c r="K154" s="14">
        <f t="shared" si="24"/>
        <v>-8.95890355100302E-3</v>
      </c>
      <c r="L154" s="9">
        <v>0.4</v>
      </c>
      <c r="M154" s="2">
        <v>0</v>
      </c>
      <c r="N154" s="2">
        <v>0.4</v>
      </c>
      <c r="O154" s="2">
        <v>0.2</v>
      </c>
      <c r="P154" s="8">
        <v>0</v>
      </c>
      <c r="Q154" s="12">
        <f t="shared" si="17"/>
        <v>-2.9378034690468873E-4</v>
      </c>
      <c r="R154" s="3">
        <f t="shared" si="18"/>
        <v>3.0215747242686797E-4</v>
      </c>
      <c r="S154" s="14">
        <f t="shared" si="19"/>
        <v>1.7382677366472289E-2</v>
      </c>
    </row>
    <row r="155" spans="1:19" x14ac:dyDescent="0.35">
      <c r="A155" s="4">
        <v>43662</v>
      </c>
      <c r="B155" s="2">
        <v>38.470001000000003</v>
      </c>
      <c r="C155" s="2">
        <v>22.611070999999999</v>
      </c>
      <c r="D155" s="2">
        <v>39.889702</v>
      </c>
      <c r="E155" s="2">
        <v>53.921272000000002</v>
      </c>
      <c r="F155" s="8">
        <v>1251.053467</v>
      </c>
      <c r="G155" s="12">
        <f t="shared" si="20"/>
        <v>4.1677579430823824E-3</v>
      </c>
      <c r="H155" s="3">
        <f t="shared" si="21"/>
        <v>7.1085502427883926E-3</v>
      </c>
      <c r="I155" s="3">
        <f t="shared" si="22"/>
        <v>-9.8786223000454465E-4</v>
      </c>
      <c r="J155" s="3">
        <f t="shared" si="23"/>
        <v>4.9059085085598458E-3</v>
      </c>
      <c r="K155" s="14">
        <f t="shared" si="24"/>
        <v>6.8980216754445005E-3</v>
      </c>
      <c r="L155" s="9">
        <v>0.3</v>
      </c>
      <c r="M155" s="2">
        <v>0.1</v>
      </c>
      <c r="N155" s="2">
        <v>0.4</v>
      </c>
      <c r="O155" s="2">
        <v>0.2</v>
      </c>
      <c r="P155" s="8">
        <v>0</v>
      </c>
      <c r="Q155" s="12">
        <f t="shared" si="17"/>
        <v>-1.935241581552699E-4</v>
      </c>
      <c r="R155" s="3">
        <f t="shared" si="18"/>
        <v>2.4486986483216215E-4</v>
      </c>
      <c r="S155" s="14">
        <f t="shared" si="19"/>
        <v>1.564831827488699E-2</v>
      </c>
    </row>
    <row r="156" spans="1:19" x14ac:dyDescent="0.35">
      <c r="A156" s="4">
        <v>43663</v>
      </c>
      <c r="B156" s="2">
        <v>37.790000999999997</v>
      </c>
      <c r="C156" s="2">
        <v>23.261139</v>
      </c>
      <c r="D156" s="2">
        <v>40.175541000000003</v>
      </c>
      <c r="E156" s="2">
        <v>53.579197000000001</v>
      </c>
      <c r="F156" s="8">
        <v>1277.7802730000001</v>
      </c>
      <c r="G156" s="12">
        <f t="shared" si="20"/>
        <v>-1.7834198935060587E-2</v>
      </c>
      <c r="H156" s="3">
        <f t="shared" si="21"/>
        <v>2.8344460488259712E-2</v>
      </c>
      <c r="I156" s="3">
        <f t="shared" si="22"/>
        <v>7.1401822733690549E-3</v>
      </c>
      <c r="J156" s="3">
        <f t="shared" si="23"/>
        <v>-6.364179761517332E-3</v>
      </c>
      <c r="K156" s="14">
        <f t="shared" si="24"/>
        <v>2.1138440833742389E-2</v>
      </c>
      <c r="L156" s="9">
        <v>0.2</v>
      </c>
      <c r="M156" s="2">
        <v>0.2</v>
      </c>
      <c r="N156" s="2">
        <v>0.4</v>
      </c>
      <c r="O156" s="2">
        <v>0.2</v>
      </c>
      <c r="P156" s="8">
        <v>0</v>
      </c>
      <c r="Q156" s="12">
        <f t="shared" si="17"/>
        <v>-9.3267969405851152E-5</v>
      </c>
      <c r="R156" s="3">
        <f t="shared" si="18"/>
        <v>2.1215023731858685E-4</v>
      </c>
      <c r="S156" s="14">
        <f t="shared" si="19"/>
        <v>1.4565378035553586E-2</v>
      </c>
    </row>
    <row r="157" spans="1:19" x14ac:dyDescent="0.35">
      <c r="A157" s="4">
        <v>43664</v>
      </c>
      <c r="B157" s="2">
        <v>37.220001000000003</v>
      </c>
      <c r="C157" s="2">
        <v>22.187111000000002</v>
      </c>
      <c r="D157" s="2">
        <v>40.313538000000001</v>
      </c>
      <c r="E157" s="2">
        <v>53.803992999999998</v>
      </c>
      <c r="F157" s="8">
        <v>1285.7425539999999</v>
      </c>
      <c r="G157" s="12">
        <f t="shared" si="20"/>
        <v>-1.5198265742044095E-2</v>
      </c>
      <c r="H157" s="3">
        <f t="shared" si="21"/>
        <v>-4.7272579389768275E-2</v>
      </c>
      <c r="I157" s="3">
        <f t="shared" si="22"/>
        <v>3.4289654429212877E-3</v>
      </c>
      <c r="J157" s="3">
        <f t="shared" si="23"/>
        <v>4.1868066757417416E-3</v>
      </c>
      <c r="K157" s="14">
        <f t="shared" si="24"/>
        <v>6.2120036699649626E-3</v>
      </c>
      <c r="L157" s="9">
        <v>0.1</v>
      </c>
      <c r="M157" s="2">
        <v>0.3</v>
      </c>
      <c r="N157" s="2">
        <v>0.4</v>
      </c>
      <c r="O157" s="2">
        <v>0.2</v>
      </c>
      <c r="P157" s="8">
        <v>0</v>
      </c>
      <c r="Q157" s="12">
        <f t="shared" si="17"/>
        <v>6.9882193435676703E-6</v>
      </c>
      <c r="R157" s="3">
        <f t="shared" si="18"/>
        <v>2.0399858988614199E-4</v>
      </c>
      <c r="S157" s="14">
        <f t="shared" si="19"/>
        <v>1.4282807493141605E-2</v>
      </c>
    </row>
    <row r="158" spans="1:19" x14ac:dyDescent="0.35">
      <c r="A158" s="4">
        <v>43665</v>
      </c>
      <c r="B158" s="2">
        <v>36.340000000000003</v>
      </c>
      <c r="C158" s="2">
        <v>21.753734999999999</v>
      </c>
      <c r="D158" s="2">
        <v>39.800995</v>
      </c>
      <c r="E158" s="2">
        <v>53.501007000000001</v>
      </c>
      <c r="F158" s="8">
        <v>1283.560303</v>
      </c>
      <c r="G158" s="12">
        <f t="shared" si="20"/>
        <v>-2.3927215113354879E-2</v>
      </c>
      <c r="H158" s="3">
        <f t="shared" si="21"/>
        <v>-1.9726067757852135E-2</v>
      </c>
      <c r="I158" s="3">
        <f t="shared" si="22"/>
        <v>-1.2795431083807735E-2</v>
      </c>
      <c r="J158" s="3">
        <f t="shared" si="23"/>
        <v>-5.6472075897477693E-3</v>
      </c>
      <c r="K158" s="14">
        <f t="shared" si="24"/>
        <v>-1.6987110093436202E-3</v>
      </c>
      <c r="L158" s="9">
        <v>0</v>
      </c>
      <c r="M158" s="2">
        <v>0.4</v>
      </c>
      <c r="N158" s="2">
        <v>0.4</v>
      </c>
      <c r="O158" s="2">
        <v>0.2</v>
      </c>
      <c r="P158" s="8">
        <v>0</v>
      </c>
      <c r="Q158" s="12">
        <f t="shared" si="17"/>
        <v>1.0724440809298651E-4</v>
      </c>
      <c r="R158" s="3">
        <f t="shared" si="18"/>
        <v>2.2041492253482769E-4</v>
      </c>
      <c r="S158" s="14">
        <f t="shared" si="19"/>
        <v>1.4846377421271078E-2</v>
      </c>
    </row>
    <row r="159" spans="1:19" x14ac:dyDescent="0.35">
      <c r="A159" s="4">
        <v>43668</v>
      </c>
      <c r="B159" s="2">
        <v>35.020000000000003</v>
      </c>
      <c r="C159" s="2">
        <v>21.235565000000001</v>
      </c>
      <c r="D159" s="2">
        <v>39.170169999999999</v>
      </c>
      <c r="E159" s="2">
        <v>53.755122999999998</v>
      </c>
      <c r="F159" s="8">
        <v>1276.3055420000001</v>
      </c>
      <c r="G159" s="12">
        <f t="shared" si="20"/>
        <v>-3.6999736110319342E-2</v>
      </c>
      <c r="H159" s="3">
        <f t="shared" si="21"/>
        <v>-2.4108096501730222E-2</v>
      </c>
      <c r="I159" s="3">
        <f t="shared" si="22"/>
        <v>-1.5976424253409956E-2</v>
      </c>
      <c r="J159" s="3">
        <f t="shared" si="23"/>
        <v>4.7384979390867584E-3</v>
      </c>
      <c r="K159" s="14">
        <f t="shared" si="24"/>
        <v>-5.6680942379424637E-3</v>
      </c>
      <c r="L159" s="9">
        <v>0.3</v>
      </c>
      <c r="M159" s="2">
        <v>0</v>
      </c>
      <c r="N159" s="2">
        <v>0.5</v>
      </c>
      <c r="O159" s="2">
        <v>0.2</v>
      </c>
      <c r="P159" s="8">
        <v>0</v>
      </c>
      <c r="Q159" s="12">
        <f t="shared" si="17"/>
        <v>-1.4903042497270029E-4</v>
      </c>
      <c r="R159" s="3">
        <f t="shared" si="18"/>
        <v>2.7292698729157255E-4</v>
      </c>
      <c r="S159" s="14">
        <f t="shared" si="19"/>
        <v>1.6520502029041748E-2</v>
      </c>
    </row>
    <row r="160" spans="1:19" x14ac:dyDescent="0.35">
      <c r="A160" s="4">
        <v>43669</v>
      </c>
      <c r="B160" s="2">
        <v>34</v>
      </c>
      <c r="C160" s="2">
        <v>20.670290000000001</v>
      </c>
      <c r="D160" s="2">
        <v>35.730212999999999</v>
      </c>
      <c r="E160" s="2">
        <v>54.126522000000001</v>
      </c>
      <c r="F160" s="8">
        <v>1287.9648440000001</v>
      </c>
      <c r="G160" s="12">
        <f t="shared" si="20"/>
        <v>-2.9558802241544505E-2</v>
      </c>
      <c r="H160" s="3">
        <f t="shared" si="21"/>
        <v>-2.6979966837572224E-2</v>
      </c>
      <c r="I160" s="3">
        <f t="shared" si="22"/>
        <v>-9.1918854329943706E-2</v>
      </c>
      <c r="J160" s="3">
        <f t="shared" si="23"/>
        <v>6.8853319258557772E-3</v>
      </c>
      <c r="K160" s="14">
        <f t="shared" si="24"/>
        <v>9.0937230422239845E-3</v>
      </c>
      <c r="L160" s="9">
        <v>0.2</v>
      </c>
      <c r="M160" s="2">
        <v>0.1</v>
      </c>
      <c r="N160" s="2">
        <v>0.5</v>
      </c>
      <c r="O160" s="2">
        <v>0.2</v>
      </c>
      <c r="P160" s="8">
        <v>0</v>
      </c>
      <c r="Q160" s="12">
        <f t="shared" si="17"/>
        <v>-4.877423622328152E-5</v>
      </c>
      <c r="R160" s="3">
        <f t="shared" si="18"/>
        <v>2.3591366782080636E-4</v>
      </c>
      <c r="S160" s="14">
        <f t="shared" si="19"/>
        <v>1.5359481365619295E-2</v>
      </c>
    </row>
    <row r="161" spans="1:19" x14ac:dyDescent="0.35">
      <c r="A161" s="4">
        <v>43670</v>
      </c>
      <c r="B161" s="2">
        <v>34.080002</v>
      </c>
      <c r="C161" s="2">
        <v>20.736236999999999</v>
      </c>
      <c r="D161" s="2">
        <v>36.163902</v>
      </c>
      <c r="E161" s="2">
        <v>54.556561000000002</v>
      </c>
      <c r="F161" s="8">
        <v>1276.3154300000001</v>
      </c>
      <c r="G161" s="12">
        <f t="shared" si="20"/>
        <v>2.3502360303979293E-3</v>
      </c>
      <c r="H161" s="3">
        <f t="shared" si="21"/>
        <v>3.185345912277622E-3</v>
      </c>
      <c r="I161" s="3">
        <f t="shared" si="22"/>
        <v>1.2064805599678756E-2</v>
      </c>
      <c r="J161" s="3">
        <f t="shared" si="23"/>
        <v>7.9136740040395594E-3</v>
      </c>
      <c r="K161" s="14">
        <f t="shared" si="24"/>
        <v>-9.085975711062233E-3</v>
      </c>
      <c r="L161" s="9">
        <v>0.1</v>
      </c>
      <c r="M161" s="2">
        <v>0.2</v>
      </c>
      <c r="N161" s="2">
        <v>0.5</v>
      </c>
      <c r="O161" s="2">
        <v>0.2</v>
      </c>
      <c r="P161" s="8">
        <v>0</v>
      </c>
      <c r="Q161" s="12">
        <f t="shared" si="17"/>
        <v>5.1481952526137308E-5</v>
      </c>
      <c r="R161" s="3">
        <f t="shared" si="18"/>
        <v>2.2346832843117066E-4</v>
      </c>
      <c r="S161" s="14">
        <f t="shared" si="19"/>
        <v>1.4948857094479519E-2</v>
      </c>
    </row>
    <row r="162" spans="1:19" x14ac:dyDescent="0.35">
      <c r="A162" s="4">
        <v>43671</v>
      </c>
      <c r="B162" s="2">
        <v>34.029998999999997</v>
      </c>
      <c r="C162" s="2">
        <v>19.973113999999999</v>
      </c>
      <c r="D162" s="2">
        <v>35.759780999999997</v>
      </c>
      <c r="E162" s="2">
        <v>54.419730999999999</v>
      </c>
      <c r="F162" s="8">
        <v>1273.475342</v>
      </c>
      <c r="G162" s="12">
        <f t="shared" si="20"/>
        <v>-1.4683015195814714E-3</v>
      </c>
      <c r="H162" s="3">
        <f t="shared" si="21"/>
        <v>-3.7495680330549147E-2</v>
      </c>
      <c r="I162" s="3">
        <f t="shared" si="22"/>
        <v>-1.1237612868735557E-2</v>
      </c>
      <c r="J162" s="3">
        <f t="shared" si="23"/>
        <v>-2.5111897164752255E-3</v>
      </c>
      <c r="K162" s="14">
        <f t="shared" si="24"/>
        <v>-2.2277037047285413E-3</v>
      </c>
      <c r="L162" s="9">
        <v>0</v>
      </c>
      <c r="M162" s="2">
        <v>0.3</v>
      </c>
      <c r="N162" s="2">
        <v>0.5</v>
      </c>
      <c r="O162" s="2">
        <v>0.2</v>
      </c>
      <c r="P162" s="8">
        <v>0</v>
      </c>
      <c r="Q162" s="12">
        <f t="shared" si="17"/>
        <v>1.5173814127555612E-4</v>
      </c>
      <c r="R162" s="3">
        <f t="shared" si="18"/>
        <v>2.355909691226654E-4</v>
      </c>
      <c r="S162" s="14">
        <f t="shared" si="19"/>
        <v>1.5348972901229104E-2</v>
      </c>
    </row>
    <row r="163" spans="1:19" x14ac:dyDescent="0.35">
      <c r="A163" s="4">
        <v>43672</v>
      </c>
      <c r="B163" s="2">
        <v>36.889999000000003</v>
      </c>
      <c r="C163" s="2">
        <v>19.426680000000001</v>
      </c>
      <c r="D163" s="2">
        <v>36.292037999999998</v>
      </c>
      <c r="E163" s="2">
        <v>54.957279</v>
      </c>
      <c r="F163" s="8">
        <v>1265.1145019999999</v>
      </c>
      <c r="G163" s="12">
        <f t="shared" si="20"/>
        <v>8.0698025373988874E-2</v>
      </c>
      <c r="H163" s="3">
        <f t="shared" si="21"/>
        <v>-2.7739690171690982E-2</v>
      </c>
      <c r="I163" s="3">
        <f t="shared" si="22"/>
        <v>1.4774552244061181E-2</v>
      </c>
      <c r="J163" s="3">
        <f t="shared" si="23"/>
        <v>9.8293476476368942E-3</v>
      </c>
      <c r="K163" s="14">
        <f t="shared" si="24"/>
        <v>-6.5870193645687827E-3</v>
      </c>
      <c r="L163" s="9">
        <v>0.2</v>
      </c>
      <c r="M163" s="2">
        <v>0</v>
      </c>
      <c r="N163" s="2">
        <v>0.6</v>
      </c>
      <c r="O163" s="2">
        <v>0.2</v>
      </c>
      <c r="P163" s="8">
        <v>0</v>
      </c>
      <c r="Q163" s="12">
        <f t="shared" si="17"/>
        <v>-4.2805030407119091E-6</v>
      </c>
      <c r="R163" s="3">
        <f t="shared" si="18"/>
        <v>2.7387563229296671E-4</v>
      </c>
      <c r="S163" s="14">
        <f t="shared" si="19"/>
        <v>1.6549188266889912E-2</v>
      </c>
    </row>
    <row r="164" spans="1:19" x14ac:dyDescent="0.35">
      <c r="A164" s="4">
        <v>43675</v>
      </c>
      <c r="B164" s="2">
        <v>38.049999</v>
      </c>
      <c r="C164" s="2">
        <v>19.567999</v>
      </c>
      <c r="D164" s="2">
        <v>35.858348999999997</v>
      </c>
      <c r="E164" s="2">
        <v>55.533928000000003</v>
      </c>
      <c r="F164" s="8">
        <v>1282.015625</v>
      </c>
      <c r="G164" s="12">
        <f t="shared" si="20"/>
        <v>3.0960573525518887E-2</v>
      </c>
      <c r="H164" s="3">
        <f t="shared" si="21"/>
        <v>7.2481488405151864E-3</v>
      </c>
      <c r="I164" s="3">
        <f t="shared" si="22"/>
        <v>-1.2021951408604428E-2</v>
      </c>
      <c r="J164" s="3">
        <f t="shared" si="23"/>
        <v>1.043801133574121E-2</v>
      </c>
      <c r="K164" s="14">
        <f t="shared" si="24"/>
        <v>1.327091291349471E-2</v>
      </c>
      <c r="L164" s="9">
        <v>0.1</v>
      </c>
      <c r="M164" s="2">
        <v>0.1</v>
      </c>
      <c r="N164" s="2">
        <v>0.6</v>
      </c>
      <c r="O164" s="2">
        <v>0.2</v>
      </c>
      <c r="P164" s="8">
        <v>0</v>
      </c>
      <c r="Q164" s="12">
        <f t="shared" si="17"/>
        <v>9.5975685708706899E-5</v>
      </c>
      <c r="R164" s="3">
        <f t="shared" si="18"/>
        <v>2.5713660094614011E-4</v>
      </c>
      <c r="S164" s="14">
        <f t="shared" si="19"/>
        <v>1.6035479442353451E-2</v>
      </c>
    </row>
    <row r="165" spans="1:19" x14ac:dyDescent="0.35">
      <c r="A165" s="4">
        <v>43676</v>
      </c>
      <c r="B165" s="2">
        <v>38.68</v>
      </c>
      <c r="C165" s="2">
        <v>19.360727000000001</v>
      </c>
      <c r="D165" s="2">
        <v>36.085051999999997</v>
      </c>
      <c r="E165" s="2">
        <v>55.289588999999999</v>
      </c>
      <c r="F165" s="8">
        <v>1286.3604740000001</v>
      </c>
      <c r="G165" s="12">
        <f t="shared" si="20"/>
        <v>1.6421612558608096E-2</v>
      </c>
      <c r="H165" s="3">
        <f t="shared" si="21"/>
        <v>-1.0648895044694349E-2</v>
      </c>
      <c r="I165" s="3">
        <f t="shared" si="22"/>
        <v>6.3022806042389457E-3</v>
      </c>
      <c r="J165" s="3">
        <f t="shared" si="23"/>
        <v>-4.4095225006843273E-3</v>
      </c>
      <c r="K165" s="14">
        <f t="shared" si="24"/>
        <v>3.3833465015712201E-3</v>
      </c>
      <c r="L165" s="9">
        <v>0</v>
      </c>
      <c r="M165" s="2">
        <v>0.2</v>
      </c>
      <c r="N165" s="2">
        <v>0.6</v>
      </c>
      <c r="O165" s="2">
        <v>0.2</v>
      </c>
      <c r="P165" s="8">
        <v>0</v>
      </c>
      <c r="Q165" s="12">
        <f t="shared" si="17"/>
        <v>1.9623187445812573E-4</v>
      </c>
      <c r="R165" s="3">
        <f t="shared" si="18"/>
        <v>2.6496554968044399E-4</v>
      </c>
      <c r="S165" s="14">
        <f t="shared" si="19"/>
        <v>1.6277762428553992E-2</v>
      </c>
    </row>
    <row r="166" spans="1:19" x14ac:dyDescent="0.35">
      <c r="A166" s="4">
        <v>43677</v>
      </c>
      <c r="B166" s="2">
        <v>39.07</v>
      </c>
      <c r="C166" s="2">
        <v>19.530313</v>
      </c>
      <c r="D166" s="2">
        <v>35.976627000000001</v>
      </c>
      <c r="E166" s="2">
        <v>55.260269000000001</v>
      </c>
      <c r="F166" s="8">
        <v>1290.03772</v>
      </c>
      <c r="G166" s="12">
        <f t="shared" si="20"/>
        <v>1.0032238481885765E-2</v>
      </c>
      <c r="H166" s="3">
        <f t="shared" si="21"/>
        <v>8.7211385895887839E-3</v>
      </c>
      <c r="I166" s="3">
        <f t="shared" si="22"/>
        <v>-3.0092299631232652E-3</v>
      </c>
      <c r="J166" s="3">
        <f t="shared" si="23"/>
        <v>-5.3043940929298867E-4</v>
      </c>
      <c r="K166" s="14">
        <f t="shared" si="24"/>
        <v>2.8545653428726334E-3</v>
      </c>
      <c r="L166" s="9">
        <v>0.1</v>
      </c>
      <c r="M166" s="2">
        <v>0</v>
      </c>
      <c r="N166" s="2">
        <v>0.7</v>
      </c>
      <c r="O166" s="2">
        <v>0.2</v>
      </c>
      <c r="P166" s="8">
        <v>0</v>
      </c>
      <c r="Q166" s="12">
        <f t="shared" si="17"/>
        <v>1.4046941889127651E-4</v>
      </c>
      <c r="R166" s="3">
        <f t="shared" si="18"/>
        <v>3.0500340743105036E-4</v>
      </c>
      <c r="S166" s="14">
        <f t="shared" si="19"/>
        <v>1.74643467507677E-2</v>
      </c>
    </row>
    <row r="167" spans="1:19" x14ac:dyDescent="0.35">
      <c r="A167" s="4">
        <v>43678</v>
      </c>
      <c r="B167" s="2">
        <v>39.599997999999999</v>
      </c>
      <c r="C167" s="2">
        <v>19.549156</v>
      </c>
      <c r="D167" s="2">
        <v>35.197955999999998</v>
      </c>
      <c r="E167" s="2">
        <v>55.328685999999998</v>
      </c>
      <c r="F167" s="8">
        <v>1308.134644</v>
      </c>
      <c r="G167" s="12">
        <f t="shared" si="20"/>
        <v>1.3474158688403825E-2</v>
      </c>
      <c r="H167" s="3">
        <f t="shared" si="21"/>
        <v>9.6434275809975504E-4</v>
      </c>
      <c r="I167" s="3">
        <f t="shared" si="22"/>
        <v>-2.1881464865848171E-2</v>
      </c>
      <c r="J167" s="3">
        <f t="shared" si="23"/>
        <v>1.237320828805335E-3</v>
      </c>
      <c r="K167" s="14">
        <f t="shared" si="24"/>
        <v>1.3930728318919968E-2</v>
      </c>
      <c r="L167" s="9">
        <v>0</v>
      </c>
      <c r="M167" s="2">
        <v>0.1</v>
      </c>
      <c r="N167" s="2">
        <v>0.7</v>
      </c>
      <c r="O167" s="2">
        <v>0.2</v>
      </c>
      <c r="P167" s="8">
        <v>0</v>
      </c>
      <c r="Q167" s="12">
        <f t="shared" si="17"/>
        <v>2.4072560764069534E-4</v>
      </c>
      <c r="R167" s="3">
        <f t="shared" si="18"/>
        <v>3.0853866420816342E-4</v>
      </c>
      <c r="S167" s="14">
        <f t="shared" si="19"/>
        <v>1.7565268691601715E-2</v>
      </c>
    </row>
    <row r="168" spans="1:19" x14ac:dyDescent="0.35">
      <c r="A168" s="4">
        <v>43679</v>
      </c>
      <c r="B168" s="2">
        <v>40.380001</v>
      </c>
      <c r="C168" s="2">
        <v>19.351309000000001</v>
      </c>
      <c r="D168" s="2">
        <v>34.724837999999998</v>
      </c>
      <c r="E168" s="2">
        <v>54.624977000000001</v>
      </c>
      <c r="F168" s="8">
        <v>1324.457764</v>
      </c>
      <c r="G168" s="12">
        <f t="shared" si="20"/>
        <v>1.9505569894043066E-2</v>
      </c>
      <c r="H168" s="3">
        <f t="shared" si="21"/>
        <v>-1.0172048377425974E-2</v>
      </c>
      <c r="I168" s="3">
        <f t="shared" si="22"/>
        <v>-1.3532789333467689E-2</v>
      </c>
      <c r="J168" s="3">
        <f t="shared" si="23"/>
        <v>-1.2800275846406693E-2</v>
      </c>
      <c r="K168" s="14">
        <f t="shared" si="24"/>
        <v>1.2400954386736508E-2</v>
      </c>
      <c r="L168" s="9">
        <v>0</v>
      </c>
      <c r="M168" s="2">
        <v>0</v>
      </c>
      <c r="N168" s="2">
        <v>0.8</v>
      </c>
      <c r="O168" s="2">
        <v>0.2</v>
      </c>
      <c r="P168" s="8">
        <v>0</v>
      </c>
      <c r="Q168" s="12">
        <f t="shared" si="17"/>
        <v>2.8521934082326498E-4</v>
      </c>
      <c r="R168" s="3">
        <f t="shared" si="18"/>
        <v>3.663103127058237E-4</v>
      </c>
      <c r="S168" s="14">
        <f t="shared" si="19"/>
        <v>1.9139234903878047E-2</v>
      </c>
    </row>
    <row r="169" spans="1:19" x14ac:dyDescent="0.35">
      <c r="A169" s="4">
        <v>43682</v>
      </c>
      <c r="B169" s="2">
        <v>40.450001</v>
      </c>
      <c r="C169" s="2">
        <v>19.511469000000002</v>
      </c>
      <c r="D169" s="2">
        <v>35.138817000000003</v>
      </c>
      <c r="E169" s="2">
        <v>54.302447999999998</v>
      </c>
      <c r="F169" s="8">
        <v>1368.065918</v>
      </c>
      <c r="G169" s="12">
        <f t="shared" si="20"/>
        <v>1.7320305769532188E-3</v>
      </c>
      <c r="H169" s="3">
        <f t="shared" si="21"/>
        <v>8.242380754630553E-3</v>
      </c>
      <c r="I169" s="3">
        <f t="shared" si="22"/>
        <v>1.1851193450872178E-2</v>
      </c>
      <c r="J169" s="3">
        <f t="shared" si="23"/>
        <v>-5.9219235664182794E-3</v>
      </c>
      <c r="K169" s="14">
        <f t="shared" si="24"/>
        <v>3.2394862750155753E-2</v>
      </c>
      <c r="L169" s="9">
        <v>0.7</v>
      </c>
      <c r="M169" s="2">
        <v>0</v>
      </c>
      <c r="N169" s="2">
        <v>0</v>
      </c>
      <c r="O169" s="2">
        <v>0.3</v>
      </c>
      <c r="P169" s="8">
        <v>0</v>
      </c>
      <c r="Q169" s="12">
        <f t="shared" si="17"/>
        <v>-7.3022824076871126E-4</v>
      </c>
      <c r="R169" s="3">
        <f t="shared" si="18"/>
        <v>5.8026300303311209E-4</v>
      </c>
      <c r="S169" s="14">
        <f t="shared" si="19"/>
        <v>2.4088648841998427E-2</v>
      </c>
    </row>
    <row r="170" spans="1:19" x14ac:dyDescent="0.35">
      <c r="A170" s="4">
        <v>43683</v>
      </c>
      <c r="B170" s="2">
        <v>39.599997999999999</v>
      </c>
      <c r="C170" s="2">
        <v>19.944849000000001</v>
      </c>
      <c r="D170" s="2">
        <v>35.464084999999997</v>
      </c>
      <c r="E170" s="2">
        <v>54.908413000000003</v>
      </c>
      <c r="F170" s="8">
        <v>1368.683716</v>
      </c>
      <c r="G170" s="12">
        <f t="shared" si="20"/>
        <v>-2.1237600470996234E-2</v>
      </c>
      <c r="H170" s="3">
        <f t="shared" si="21"/>
        <v>2.1968467987786008E-2</v>
      </c>
      <c r="I170" s="3">
        <f t="shared" si="22"/>
        <v>9.2140773830160592E-3</v>
      </c>
      <c r="J170" s="3">
        <f t="shared" si="23"/>
        <v>1.1097270237125787E-2</v>
      </c>
      <c r="K170" s="14">
        <f t="shared" si="24"/>
        <v>4.5148303141719553E-4</v>
      </c>
      <c r="L170" s="9">
        <v>0.6</v>
      </c>
      <c r="M170" s="2">
        <v>0.1</v>
      </c>
      <c r="N170" s="2">
        <v>0</v>
      </c>
      <c r="O170" s="2">
        <v>0.3</v>
      </c>
      <c r="P170" s="8">
        <v>0</v>
      </c>
      <c r="Q170" s="12">
        <f t="shared" si="17"/>
        <v>-6.2997205201929243E-4</v>
      </c>
      <c r="R170" s="3">
        <f t="shared" si="18"/>
        <v>4.6081403696014061E-4</v>
      </c>
      <c r="S170" s="14">
        <f t="shared" si="19"/>
        <v>2.1466579535644251E-2</v>
      </c>
    </row>
    <row r="171" spans="1:19" x14ac:dyDescent="0.35">
      <c r="A171" s="4">
        <v>43684</v>
      </c>
      <c r="B171" s="2">
        <v>40.209999000000003</v>
      </c>
      <c r="C171" s="2">
        <v>20.161539000000001</v>
      </c>
      <c r="D171" s="2">
        <v>35.651356</v>
      </c>
      <c r="E171" s="2">
        <v>54.155842</v>
      </c>
      <c r="F171" s="8">
        <v>1384.7379149999999</v>
      </c>
      <c r="G171" s="12">
        <f t="shared" si="20"/>
        <v>1.5286628284363933E-2</v>
      </c>
      <c r="H171" s="3">
        <f t="shared" si="21"/>
        <v>1.0805865066230238E-2</v>
      </c>
      <c r="I171" s="3">
        <f t="shared" si="22"/>
        <v>5.2666883659434061E-3</v>
      </c>
      <c r="J171" s="3">
        <f t="shared" si="23"/>
        <v>-1.3800725902732524E-2</v>
      </c>
      <c r="K171" s="14">
        <f t="shared" si="24"/>
        <v>1.1661403942518404E-2</v>
      </c>
      <c r="L171" s="9">
        <v>0.5</v>
      </c>
      <c r="M171" s="2">
        <v>0.2</v>
      </c>
      <c r="N171" s="2">
        <v>0</v>
      </c>
      <c r="O171" s="2">
        <v>0.3</v>
      </c>
      <c r="P171" s="8">
        <v>0</v>
      </c>
      <c r="Q171" s="12">
        <f t="shared" si="17"/>
        <v>-5.2971586326987371E-4</v>
      </c>
      <c r="R171" s="3">
        <f t="shared" si="18"/>
        <v>3.6593305096829955E-4</v>
      </c>
      <c r="S171" s="14">
        <f t="shared" si="19"/>
        <v>1.9129376648712303E-2</v>
      </c>
    </row>
    <row r="172" spans="1:19" x14ac:dyDescent="0.35">
      <c r="A172" s="4">
        <v>43685</v>
      </c>
      <c r="B172" s="2">
        <v>40.990001999999997</v>
      </c>
      <c r="C172" s="2">
        <v>20.359385</v>
      </c>
      <c r="D172" s="2">
        <v>35.247238000000003</v>
      </c>
      <c r="E172" s="2">
        <v>54.126522000000001</v>
      </c>
      <c r="F172" s="8">
        <v>1385.39563</v>
      </c>
      <c r="G172" s="12">
        <f t="shared" si="20"/>
        <v>1.9212487268886313E-2</v>
      </c>
      <c r="H172" s="3">
        <f t="shared" si="21"/>
        <v>9.7652053640788026E-3</v>
      </c>
      <c r="I172" s="3">
        <f t="shared" si="22"/>
        <v>-1.1400011024109211E-2</v>
      </c>
      <c r="J172" s="3">
        <f t="shared" si="23"/>
        <v>-5.4154711133873258E-4</v>
      </c>
      <c r="K172" s="14">
        <f t="shared" si="24"/>
        <v>4.7486159181478E-4</v>
      </c>
      <c r="L172" s="9">
        <v>0.4</v>
      </c>
      <c r="M172" s="2">
        <v>0.3</v>
      </c>
      <c r="N172" s="2">
        <v>0</v>
      </c>
      <c r="O172" s="2">
        <v>0.3</v>
      </c>
      <c r="P172" s="8">
        <v>0</v>
      </c>
      <c r="Q172" s="12">
        <f t="shared" si="17"/>
        <v>-4.2945967452045488E-4</v>
      </c>
      <c r="R172" s="3">
        <f t="shared" si="18"/>
        <v>2.9562004505758897E-4</v>
      </c>
      <c r="S172" s="14">
        <f t="shared" si="19"/>
        <v>1.7193604772053735E-2</v>
      </c>
    </row>
    <row r="173" spans="1:19" x14ac:dyDescent="0.35">
      <c r="A173" s="4">
        <v>43686</v>
      </c>
      <c r="B173" s="2">
        <v>40.709999000000003</v>
      </c>
      <c r="C173" s="2">
        <v>19.888323</v>
      </c>
      <c r="D173" s="2">
        <v>35.128959999999999</v>
      </c>
      <c r="E173" s="2">
        <v>54.615208000000003</v>
      </c>
      <c r="F173" s="8">
        <v>1383.123413</v>
      </c>
      <c r="G173" s="12">
        <f t="shared" si="20"/>
        <v>-6.8544453577352787E-3</v>
      </c>
      <c r="H173" s="3">
        <f t="shared" si="21"/>
        <v>-2.3409209353477303E-2</v>
      </c>
      <c r="I173" s="3">
        <f t="shared" si="22"/>
        <v>-3.3613100657331257E-3</v>
      </c>
      <c r="J173" s="3">
        <f t="shared" si="23"/>
        <v>8.9880727461084577E-3</v>
      </c>
      <c r="K173" s="14">
        <f t="shared" si="24"/>
        <v>-1.6414678569300295E-3</v>
      </c>
      <c r="L173" s="9">
        <v>0.3</v>
      </c>
      <c r="M173" s="2">
        <v>0.4</v>
      </c>
      <c r="N173" s="2">
        <v>0</v>
      </c>
      <c r="O173" s="2">
        <v>0.3</v>
      </c>
      <c r="P173" s="8">
        <v>0</v>
      </c>
      <c r="Q173" s="12">
        <f t="shared" si="17"/>
        <v>-3.29203485771036E-4</v>
      </c>
      <c r="R173" s="3">
        <f t="shared" si="18"/>
        <v>2.4987501922800888E-4</v>
      </c>
      <c r="S173" s="14">
        <f t="shared" si="19"/>
        <v>1.5807435567732321E-2</v>
      </c>
    </row>
    <row r="174" spans="1:19" x14ac:dyDescent="0.35">
      <c r="A174" s="4">
        <v>43689</v>
      </c>
      <c r="B174" s="2">
        <v>40.689999</v>
      </c>
      <c r="C174" s="2">
        <v>19.417256999999999</v>
      </c>
      <c r="D174" s="2">
        <v>34.774120000000003</v>
      </c>
      <c r="E174" s="2">
        <v>54.429501000000002</v>
      </c>
      <c r="F174" s="8">
        <v>1386.103149</v>
      </c>
      <c r="G174" s="12">
        <f t="shared" si="20"/>
        <v>-4.9140051336271423E-4</v>
      </c>
      <c r="H174" s="3">
        <f t="shared" si="21"/>
        <v>-2.3970568836787085E-2</v>
      </c>
      <c r="I174" s="3">
        <f t="shared" si="22"/>
        <v>-1.015242955900233E-2</v>
      </c>
      <c r="J174" s="3">
        <f t="shared" si="23"/>
        <v>-3.4060741000735604E-3</v>
      </c>
      <c r="K174" s="14">
        <f t="shared" si="24"/>
        <v>2.1520356556463654E-3</v>
      </c>
      <c r="L174" s="9">
        <v>0.2</v>
      </c>
      <c r="M174" s="2">
        <v>0.5</v>
      </c>
      <c r="N174" s="2">
        <v>0</v>
      </c>
      <c r="O174" s="2">
        <v>0.3</v>
      </c>
      <c r="P174" s="8">
        <v>0</v>
      </c>
      <c r="Q174" s="12">
        <f t="shared" si="17"/>
        <v>-2.2894729702161722E-4</v>
      </c>
      <c r="R174" s="3">
        <f t="shared" si="18"/>
        <v>2.2869797347955926E-4</v>
      </c>
      <c r="S174" s="14">
        <f t="shared" si="19"/>
        <v>1.512276342073628E-2</v>
      </c>
    </row>
    <row r="175" spans="1:19" x14ac:dyDescent="0.35">
      <c r="A175" s="4">
        <v>43690</v>
      </c>
      <c r="B175" s="2">
        <v>40.209999000000003</v>
      </c>
      <c r="C175" s="2">
        <v>19.285360000000001</v>
      </c>
      <c r="D175" s="2">
        <v>34.153156000000003</v>
      </c>
      <c r="E175" s="2">
        <v>54.693393999999998</v>
      </c>
      <c r="F175" s="8">
        <v>1377.044678</v>
      </c>
      <c r="G175" s="12">
        <f t="shared" si="20"/>
        <v>-1.1866641397788378E-2</v>
      </c>
      <c r="H175" s="3">
        <f t="shared" si="21"/>
        <v>-6.8159479049931084E-3</v>
      </c>
      <c r="I175" s="3">
        <f t="shared" si="22"/>
        <v>-1.8018434394417807E-2</v>
      </c>
      <c r="J175" s="3">
        <f t="shared" si="23"/>
        <v>4.8366296447122422E-3</v>
      </c>
      <c r="K175" s="14">
        <f t="shared" si="24"/>
        <v>-6.5566549594098574E-3</v>
      </c>
      <c r="L175" s="9">
        <v>0.1</v>
      </c>
      <c r="M175" s="2">
        <v>0.6</v>
      </c>
      <c r="N175" s="2">
        <v>0</v>
      </c>
      <c r="O175" s="2">
        <v>0.3</v>
      </c>
      <c r="P175" s="8">
        <v>0</v>
      </c>
      <c r="Q175" s="12">
        <f t="shared" si="17"/>
        <v>-1.286911082721984E-4</v>
      </c>
      <c r="R175" s="3">
        <f t="shared" si="18"/>
        <v>2.3208890781224013E-4</v>
      </c>
      <c r="S175" s="14">
        <f t="shared" si="19"/>
        <v>1.5234464474087698E-2</v>
      </c>
    </row>
    <row r="176" spans="1:19" x14ac:dyDescent="0.35">
      <c r="A176" s="4">
        <v>43691</v>
      </c>
      <c r="B176" s="2">
        <v>39.169998</v>
      </c>
      <c r="C176" s="2">
        <v>18.851982</v>
      </c>
      <c r="D176" s="2">
        <v>32.871796000000003</v>
      </c>
      <c r="E176" s="2">
        <v>54.634749999999997</v>
      </c>
      <c r="F176" s="8">
        <v>1365.464966</v>
      </c>
      <c r="G176" s="12">
        <f t="shared" si="20"/>
        <v>-2.6204599421492666E-2</v>
      </c>
      <c r="H176" s="3">
        <f t="shared" si="21"/>
        <v>-2.272820458883602E-2</v>
      </c>
      <c r="I176" s="3">
        <f t="shared" si="22"/>
        <v>-3.8239971886971202E-2</v>
      </c>
      <c r="J176" s="3">
        <f t="shared" si="23"/>
        <v>-1.0728071195377181E-3</v>
      </c>
      <c r="K176" s="14">
        <f t="shared" si="24"/>
        <v>-8.4446600506176139E-3</v>
      </c>
      <c r="L176" s="9">
        <v>0</v>
      </c>
      <c r="M176" s="2">
        <v>0.7</v>
      </c>
      <c r="N176" s="2">
        <v>0</v>
      </c>
      <c r="O176" s="2">
        <v>0.3</v>
      </c>
      <c r="P176" s="8">
        <v>0</v>
      </c>
      <c r="Q176" s="12">
        <f t="shared" si="17"/>
        <v>-2.8434919522779567E-5</v>
      </c>
      <c r="R176" s="3">
        <f t="shared" si="18"/>
        <v>2.6004782222605147E-4</v>
      </c>
      <c r="S176" s="14">
        <f t="shared" si="19"/>
        <v>1.6125998332694055E-2</v>
      </c>
    </row>
    <row r="177" spans="1:19" x14ac:dyDescent="0.35">
      <c r="A177" s="4">
        <v>43692</v>
      </c>
      <c r="B177" s="2">
        <v>38.080002</v>
      </c>
      <c r="C177" s="2">
        <v>18.842559999999999</v>
      </c>
      <c r="D177" s="2">
        <v>33.433619999999998</v>
      </c>
      <c r="E177" s="2">
        <v>54.576107</v>
      </c>
      <c r="F177" s="8">
        <v>1351.1748050000001</v>
      </c>
      <c r="G177" s="12">
        <f t="shared" si="20"/>
        <v>-2.8221834174082701E-2</v>
      </c>
      <c r="H177" s="3">
        <f t="shared" si="21"/>
        <v>-4.9991323392253309E-4</v>
      </c>
      <c r="I177" s="3">
        <f t="shared" si="22"/>
        <v>1.6946954867848404E-2</v>
      </c>
      <c r="J177" s="3">
        <f t="shared" si="23"/>
        <v>-1.0739409477634257E-3</v>
      </c>
      <c r="K177" s="14">
        <f t="shared" si="24"/>
        <v>-1.0520565117208893E-2</v>
      </c>
      <c r="L177" s="9">
        <v>0.6</v>
      </c>
      <c r="M177" s="2">
        <v>0</v>
      </c>
      <c r="N177" s="2">
        <v>0.1</v>
      </c>
      <c r="O177" s="2">
        <v>0.3</v>
      </c>
      <c r="P177" s="8">
        <v>0</v>
      </c>
      <c r="Q177" s="12">
        <f t="shared" si="17"/>
        <v>-5.8547831883672282E-4</v>
      </c>
      <c r="R177" s="3">
        <f t="shared" si="18"/>
        <v>4.5143959399565744E-4</v>
      </c>
      <c r="S177" s="14">
        <f t="shared" si="19"/>
        <v>2.1247107897209384E-2</v>
      </c>
    </row>
    <row r="178" spans="1:19" x14ac:dyDescent="0.35">
      <c r="A178" s="4">
        <v>43693</v>
      </c>
      <c r="B178" s="2">
        <v>39.68</v>
      </c>
      <c r="C178" s="2">
        <v>19.65279</v>
      </c>
      <c r="D178" s="2">
        <v>33.630752999999999</v>
      </c>
      <c r="E178" s="2">
        <v>54.791130000000003</v>
      </c>
      <c r="F178" s="8">
        <v>1346.2120359999999</v>
      </c>
      <c r="G178" s="12">
        <f t="shared" si="20"/>
        <v>4.1158019972500362E-2</v>
      </c>
      <c r="H178" s="3">
        <f t="shared" si="21"/>
        <v>4.2101171947966511E-2</v>
      </c>
      <c r="I178" s="3">
        <f t="shared" si="22"/>
        <v>5.8789356838891381E-3</v>
      </c>
      <c r="J178" s="3">
        <f t="shared" si="23"/>
        <v>3.9321332960290103E-3</v>
      </c>
      <c r="K178" s="14">
        <f t="shared" si="24"/>
        <v>-3.6796906726717666E-3</v>
      </c>
      <c r="L178" s="9">
        <v>0.5</v>
      </c>
      <c r="M178" s="2">
        <v>0.1</v>
      </c>
      <c r="N178" s="2">
        <v>0.1</v>
      </c>
      <c r="O178" s="2">
        <v>0.3</v>
      </c>
      <c r="P178" s="8">
        <v>0</v>
      </c>
      <c r="Q178" s="12">
        <f t="shared" si="17"/>
        <v>-4.852221300873041E-4</v>
      </c>
      <c r="R178" s="3">
        <f t="shared" si="18"/>
        <v>3.5226491604662552E-4</v>
      </c>
      <c r="S178" s="14">
        <f t="shared" si="19"/>
        <v>1.8768721747807589E-2</v>
      </c>
    </row>
    <row r="179" spans="1:19" x14ac:dyDescent="0.35">
      <c r="A179" s="4">
        <v>43696</v>
      </c>
      <c r="B179" s="2">
        <v>40.880001</v>
      </c>
      <c r="C179" s="2">
        <v>19.694362999999999</v>
      </c>
      <c r="D179" s="2">
        <v>33.729320999999999</v>
      </c>
      <c r="E179" s="2">
        <v>54.957279</v>
      </c>
      <c r="F179" s="8">
        <v>1373.0187989999999</v>
      </c>
      <c r="G179" s="12">
        <f t="shared" si="20"/>
        <v>2.9793687940616105E-2</v>
      </c>
      <c r="H179" s="3">
        <f t="shared" si="21"/>
        <v>2.1131396962756534E-3</v>
      </c>
      <c r="I179" s="3">
        <f t="shared" si="22"/>
        <v>2.9266021991870262E-3</v>
      </c>
      <c r="J179" s="3">
        <f t="shared" si="23"/>
        <v>3.0278184157265706E-3</v>
      </c>
      <c r="K179" s="14">
        <f t="shared" si="24"/>
        <v>1.971706933107413E-2</v>
      </c>
      <c r="L179" s="9">
        <v>0.4</v>
      </c>
      <c r="M179" s="2">
        <v>0.2</v>
      </c>
      <c r="N179" s="2">
        <v>0.1</v>
      </c>
      <c r="O179" s="2">
        <v>0.3</v>
      </c>
      <c r="P179" s="8">
        <v>0</v>
      </c>
      <c r="Q179" s="12">
        <f t="shared" si="17"/>
        <v>-3.8496594133788522E-4</v>
      </c>
      <c r="R179" s="3">
        <f t="shared" si="18"/>
        <v>2.7765821817872402E-4</v>
      </c>
      <c r="S179" s="14">
        <f t="shared" si="19"/>
        <v>1.6663079492660535E-2</v>
      </c>
    </row>
    <row r="180" spans="1:19" x14ac:dyDescent="0.35">
      <c r="A180" s="4">
        <v>43697</v>
      </c>
      <c r="B180" s="2">
        <v>41.029998999999997</v>
      </c>
      <c r="C180" s="2">
        <v>19.257764999999999</v>
      </c>
      <c r="D180" s="2">
        <v>33.187206000000003</v>
      </c>
      <c r="E180" s="2">
        <v>55.338455000000003</v>
      </c>
      <c r="F180" s="8">
        <v>1371.9923100000001</v>
      </c>
      <c r="G180" s="12">
        <f t="shared" si="20"/>
        <v>3.6625117243956717E-3</v>
      </c>
      <c r="H180" s="3">
        <f t="shared" si="21"/>
        <v>-2.2418096642800849E-2</v>
      </c>
      <c r="I180" s="3">
        <f t="shared" si="22"/>
        <v>-1.6203078217409451E-2</v>
      </c>
      <c r="J180" s="3">
        <f t="shared" si="23"/>
        <v>6.9119176910910976E-3</v>
      </c>
      <c r="K180" s="14">
        <f t="shared" si="24"/>
        <v>-7.4789427589654089E-4</v>
      </c>
      <c r="L180" s="9">
        <v>0.3</v>
      </c>
      <c r="M180" s="2">
        <v>0.3</v>
      </c>
      <c r="N180" s="2">
        <v>0.1</v>
      </c>
      <c r="O180" s="2">
        <v>0.3</v>
      </c>
      <c r="P180" s="8">
        <v>0</v>
      </c>
      <c r="Q180" s="12">
        <f t="shared" si="17"/>
        <v>-2.8470975258846639E-4</v>
      </c>
      <c r="R180" s="3">
        <f t="shared" si="18"/>
        <v>2.27619500391953E-4</v>
      </c>
      <c r="S180" s="14">
        <f t="shared" si="19"/>
        <v>1.5087064008346786E-2</v>
      </c>
    </row>
    <row r="181" spans="1:19" x14ac:dyDescent="0.35">
      <c r="A181" s="4">
        <v>43698</v>
      </c>
      <c r="B181" s="2">
        <v>41.299999</v>
      </c>
      <c r="C181" s="2">
        <v>18.840149</v>
      </c>
      <c r="D181" s="2">
        <v>32.664805999999999</v>
      </c>
      <c r="E181" s="2">
        <v>56.188766000000001</v>
      </c>
      <c r="F181" s="8">
        <v>1362.9636230000001</v>
      </c>
      <c r="G181" s="12">
        <f t="shared" si="20"/>
        <v>6.5589936722278124E-3</v>
      </c>
      <c r="H181" s="3">
        <f t="shared" si="21"/>
        <v>-2.1924178200864668E-2</v>
      </c>
      <c r="I181" s="3">
        <f t="shared" si="22"/>
        <v>-1.586621100930366E-2</v>
      </c>
      <c r="J181" s="3">
        <f t="shared" si="23"/>
        <v>1.5248788033932308E-2</v>
      </c>
      <c r="K181" s="14">
        <f t="shared" si="24"/>
        <v>-6.6024608949741713E-3</v>
      </c>
      <c r="L181" s="9">
        <v>0.2</v>
      </c>
      <c r="M181" s="2">
        <v>0.4</v>
      </c>
      <c r="N181" s="2">
        <v>0.1</v>
      </c>
      <c r="O181" s="2">
        <v>0.3</v>
      </c>
      <c r="P181" s="8">
        <v>0</v>
      </c>
      <c r="Q181" s="12">
        <f t="shared" si="17"/>
        <v>-1.8445356383904756E-4</v>
      </c>
      <c r="R181" s="3">
        <f t="shared" si="18"/>
        <v>2.0214876268631255E-4</v>
      </c>
      <c r="S181" s="14">
        <f t="shared" si="19"/>
        <v>1.4217902893405642E-2</v>
      </c>
    </row>
    <row r="182" spans="1:19" x14ac:dyDescent="0.35">
      <c r="A182" s="4">
        <v>43699</v>
      </c>
      <c r="B182" s="2">
        <v>40.279998999999997</v>
      </c>
      <c r="C182" s="2">
        <v>19.105902</v>
      </c>
      <c r="D182" s="2">
        <v>32.881653</v>
      </c>
      <c r="E182" s="2">
        <v>55.152755999999997</v>
      </c>
      <c r="F182" s="8">
        <v>1397.5931399999999</v>
      </c>
      <c r="G182" s="12">
        <f t="shared" si="20"/>
        <v>-2.5007432729767021E-2</v>
      </c>
      <c r="H182" s="3">
        <f t="shared" si="21"/>
        <v>1.4007114734074665E-2</v>
      </c>
      <c r="I182" s="3">
        <f t="shared" si="22"/>
        <v>6.6166134503729476E-3</v>
      </c>
      <c r="J182" s="3">
        <f t="shared" si="23"/>
        <v>-1.8610126427531921E-2</v>
      </c>
      <c r="K182" s="14">
        <f t="shared" si="24"/>
        <v>2.5090107974495301E-2</v>
      </c>
      <c r="L182" s="9">
        <v>0.1</v>
      </c>
      <c r="M182" s="2">
        <v>0.5</v>
      </c>
      <c r="N182" s="2">
        <v>0.1</v>
      </c>
      <c r="O182" s="2">
        <v>0.3</v>
      </c>
      <c r="P182" s="8">
        <v>0</v>
      </c>
      <c r="Q182" s="12">
        <f t="shared" si="17"/>
        <v>-8.4197375089628798E-5</v>
      </c>
      <c r="R182" s="3">
        <f t="shared" si="18"/>
        <v>2.0124600506180252E-4</v>
      </c>
      <c r="S182" s="14">
        <f t="shared" si="19"/>
        <v>1.4186120155342071E-2</v>
      </c>
    </row>
    <row r="183" spans="1:19" x14ac:dyDescent="0.35">
      <c r="A183" s="4">
        <v>43700</v>
      </c>
      <c r="B183" s="2">
        <v>39.849997999999999</v>
      </c>
      <c r="C183" s="2">
        <v>18.830656000000001</v>
      </c>
      <c r="D183" s="2">
        <v>32.507098999999997</v>
      </c>
      <c r="E183" s="2">
        <v>54.830222999999997</v>
      </c>
      <c r="F183" s="8">
        <v>1395.8790280000001</v>
      </c>
      <c r="G183" s="12">
        <f t="shared" si="20"/>
        <v>-1.0732687976127638E-2</v>
      </c>
      <c r="H183" s="3">
        <f t="shared" si="21"/>
        <v>-1.4511112469240918E-2</v>
      </c>
      <c r="I183" s="3">
        <f t="shared" si="22"/>
        <v>-1.1456346394530323E-2</v>
      </c>
      <c r="J183" s="3">
        <f t="shared" si="23"/>
        <v>-5.8651607281348037E-3</v>
      </c>
      <c r="K183" s="14">
        <f t="shared" si="24"/>
        <v>-1.2272269863783621E-3</v>
      </c>
      <c r="L183" s="9">
        <v>0</v>
      </c>
      <c r="M183" s="2">
        <v>0.6</v>
      </c>
      <c r="N183" s="2">
        <v>0.1</v>
      </c>
      <c r="O183" s="2">
        <v>0.3</v>
      </c>
      <c r="P183" s="8">
        <v>0</v>
      </c>
      <c r="Q183" s="12">
        <f t="shared" si="17"/>
        <v>1.6058813659790031E-5</v>
      </c>
      <c r="R183" s="3">
        <f t="shared" si="18"/>
        <v>2.2491122751842299E-4</v>
      </c>
      <c r="S183" s="14">
        <f t="shared" si="19"/>
        <v>1.4997040625350823E-2</v>
      </c>
    </row>
    <row r="184" spans="1:19" x14ac:dyDescent="0.35">
      <c r="A184" s="4">
        <v>43703</v>
      </c>
      <c r="B184" s="2">
        <v>40.520000000000003</v>
      </c>
      <c r="C184" s="2">
        <v>18.536428000000001</v>
      </c>
      <c r="D184" s="2">
        <v>32.359253000000002</v>
      </c>
      <c r="E184" s="2">
        <v>54.132565</v>
      </c>
      <c r="F184" s="8">
        <v>1385.305908</v>
      </c>
      <c r="G184" s="12">
        <f t="shared" si="20"/>
        <v>1.6673324332465718E-2</v>
      </c>
      <c r="H184" s="3">
        <f t="shared" si="21"/>
        <v>-1.574830302031131E-2</v>
      </c>
      <c r="I184" s="3">
        <f t="shared" si="22"/>
        <v>-4.5584883829333893E-3</v>
      </c>
      <c r="J184" s="3">
        <f t="shared" si="23"/>
        <v>-1.2805610915240781E-2</v>
      </c>
      <c r="K184" s="14">
        <f t="shared" si="24"/>
        <v>-7.6033569720660964E-3</v>
      </c>
      <c r="L184" s="9">
        <v>0.5</v>
      </c>
      <c r="M184" s="2">
        <v>0</v>
      </c>
      <c r="N184" s="2">
        <v>0.2</v>
      </c>
      <c r="O184" s="2">
        <v>0.3</v>
      </c>
      <c r="P184" s="8">
        <v>0</v>
      </c>
      <c r="Q184" s="12">
        <f t="shared" si="17"/>
        <v>-4.4072839690473438E-4</v>
      </c>
      <c r="R184" s="3">
        <f t="shared" si="18"/>
        <v>3.5279531509489217E-4</v>
      </c>
      <c r="S184" s="14">
        <f t="shared" si="19"/>
        <v>1.8782846299080769E-2</v>
      </c>
    </row>
    <row r="185" spans="1:19" x14ac:dyDescent="0.35">
      <c r="A185" s="4">
        <v>43704</v>
      </c>
      <c r="B185" s="2">
        <v>39.990001999999997</v>
      </c>
      <c r="C185" s="2">
        <v>19.020481</v>
      </c>
      <c r="D185" s="2">
        <v>32.792941999999996</v>
      </c>
      <c r="E185" s="2">
        <v>54.505961999999997</v>
      </c>
      <c r="F185" s="8">
        <v>1394.35437</v>
      </c>
      <c r="G185" s="12">
        <f t="shared" si="20"/>
        <v>-1.3166206509253875E-2</v>
      </c>
      <c r="H185" s="3">
        <f t="shared" si="21"/>
        <v>2.5778468900425153E-2</v>
      </c>
      <c r="I185" s="3">
        <f t="shared" si="22"/>
        <v>1.3313301438638885E-2</v>
      </c>
      <c r="J185" s="3">
        <f t="shared" si="23"/>
        <v>6.8741445724820674E-3</v>
      </c>
      <c r="K185" s="14">
        <f t="shared" si="24"/>
        <v>6.5105034832948988E-3</v>
      </c>
      <c r="L185" s="9">
        <v>0.4</v>
      </c>
      <c r="M185" s="2">
        <v>0.1</v>
      </c>
      <c r="N185" s="2">
        <v>0.2</v>
      </c>
      <c r="O185" s="2">
        <v>0.3</v>
      </c>
      <c r="P185" s="8">
        <v>0</v>
      </c>
      <c r="Q185" s="12">
        <f t="shared" si="17"/>
        <v>-3.404722081553156E-4</v>
      </c>
      <c r="R185" s="3">
        <f t="shared" si="18"/>
        <v>2.7389492526979991E-4</v>
      </c>
      <c r="S185" s="14">
        <f t="shared" si="19"/>
        <v>1.6549771154605125E-2</v>
      </c>
    </row>
    <row r="186" spans="1:19" x14ac:dyDescent="0.35">
      <c r="A186" s="4">
        <v>43705</v>
      </c>
      <c r="B186" s="2">
        <v>40.900002000000001</v>
      </c>
      <c r="C186" s="2">
        <v>19.210308000000001</v>
      </c>
      <c r="D186" s="2">
        <v>33.246346000000003</v>
      </c>
      <c r="E186" s="2">
        <v>54.673003999999999</v>
      </c>
      <c r="F186" s="8">
        <v>1394.753052</v>
      </c>
      <c r="G186" s="12">
        <f t="shared" si="20"/>
        <v>2.2500639077281552E-2</v>
      </c>
      <c r="H186" s="3">
        <f t="shared" si="21"/>
        <v>9.9306640011403331E-3</v>
      </c>
      <c r="I186" s="3">
        <f t="shared" si="22"/>
        <v>1.3731557018051321E-2</v>
      </c>
      <c r="J186" s="3">
        <f t="shared" si="23"/>
        <v>3.059969084891599E-3</v>
      </c>
      <c r="K186" s="14">
        <f t="shared" si="24"/>
        <v>2.8588501078914447E-4</v>
      </c>
      <c r="L186" s="9">
        <v>0.3</v>
      </c>
      <c r="M186" s="2">
        <v>0.2</v>
      </c>
      <c r="N186" s="2">
        <v>0.2</v>
      </c>
      <c r="O186" s="2">
        <v>0.3</v>
      </c>
      <c r="P186" s="8">
        <v>0</v>
      </c>
      <c r="Q186" s="12">
        <f t="shared" si="17"/>
        <v>-2.4021601940589678E-4</v>
      </c>
      <c r="R186" s="3">
        <f t="shared" si="18"/>
        <v>2.1956251552583802E-4</v>
      </c>
      <c r="S186" s="14">
        <f t="shared" si="19"/>
        <v>1.4817642036634507E-2</v>
      </c>
    </row>
    <row r="187" spans="1:19" x14ac:dyDescent="0.35">
      <c r="A187" s="4">
        <v>43706</v>
      </c>
      <c r="B187" s="2">
        <v>42.470001000000003</v>
      </c>
      <c r="C187" s="2">
        <v>19.457079</v>
      </c>
      <c r="D187" s="2">
        <v>34.103870000000001</v>
      </c>
      <c r="E187" s="2">
        <v>55.331364000000001</v>
      </c>
      <c r="F187" s="8">
        <v>1389.600952</v>
      </c>
      <c r="G187" s="12">
        <f t="shared" si="20"/>
        <v>3.7667855922701686E-2</v>
      </c>
      <c r="H187" s="3">
        <f t="shared" si="21"/>
        <v>1.2763952748472749E-2</v>
      </c>
      <c r="I187" s="3">
        <f t="shared" si="22"/>
        <v>2.5466001259916445E-2</v>
      </c>
      <c r="J187" s="3">
        <f t="shared" si="23"/>
        <v>1.1969849427274477E-2</v>
      </c>
      <c r="K187" s="14">
        <f t="shared" si="24"/>
        <v>-3.7007549131204041E-3</v>
      </c>
      <c r="L187" s="9">
        <v>0.2</v>
      </c>
      <c r="M187" s="2">
        <v>0.3</v>
      </c>
      <c r="N187" s="2">
        <v>0.2</v>
      </c>
      <c r="O187" s="2">
        <v>0.3</v>
      </c>
      <c r="P187" s="8">
        <v>0</v>
      </c>
      <c r="Q187" s="12">
        <f t="shared" si="17"/>
        <v>-1.39959830656478E-4</v>
      </c>
      <c r="R187" s="3">
        <f t="shared" si="18"/>
        <v>1.8979808586300662E-4</v>
      </c>
      <c r="S187" s="14">
        <f t="shared" si="19"/>
        <v>1.3776722609641476E-2</v>
      </c>
    </row>
    <row r="188" spans="1:19" x14ac:dyDescent="0.35">
      <c r="A188" s="4">
        <v>43707</v>
      </c>
      <c r="B188" s="2">
        <v>42.740001999999997</v>
      </c>
      <c r="C188" s="2">
        <v>19.874694999999999</v>
      </c>
      <c r="D188" s="2">
        <v>34.567131000000003</v>
      </c>
      <c r="E188" s="2">
        <v>55.744061000000002</v>
      </c>
      <c r="F188" s="8">
        <v>1382.9342039999999</v>
      </c>
      <c r="G188" s="12">
        <f t="shared" si="20"/>
        <v>6.3373288143601337E-3</v>
      </c>
      <c r="H188" s="3">
        <f t="shared" si="21"/>
        <v>2.1236351794309039E-2</v>
      </c>
      <c r="I188" s="3">
        <f t="shared" si="22"/>
        <v>1.3492391870831047E-2</v>
      </c>
      <c r="J188" s="3">
        <f t="shared" si="23"/>
        <v>7.4309668239776394E-3</v>
      </c>
      <c r="K188" s="14">
        <f t="shared" si="24"/>
        <v>-4.8091443201653131E-3</v>
      </c>
      <c r="L188" s="9">
        <v>0.1</v>
      </c>
      <c r="M188" s="2">
        <v>0.4</v>
      </c>
      <c r="N188" s="2">
        <v>0.2</v>
      </c>
      <c r="O188" s="2">
        <v>0.3</v>
      </c>
      <c r="P188" s="8">
        <v>0</v>
      </c>
      <c r="Q188" s="12">
        <f t="shared" si="17"/>
        <v>-3.9703641907059146E-5</v>
      </c>
      <c r="R188" s="3">
        <f t="shared" si="18"/>
        <v>1.8460163628130575E-4</v>
      </c>
      <c r="S188" s="14">
        <f t="shared" si="19"/>
        <v>1.3586818475320325E-2</v>
      </c>
    </row>
    <row r="189" spans="1:19" x14ac:dyDescent="0.35">
      <c r="A189" s="4">
        <v>43710</v>
      </c>
      <c r="B189" s="2">
        <v>43</v>
      </c>
      <c r="C189" s="2">
        <v>19.703854</v>
      </c>
      <c r="D189" s="2">
        <v>34.685409999999997</v>
      </c>
      <c r="E189" s="2">
        <v>55.016925999999998</v>
      </c>
      <c r="F189" s="8">
        <v>1394.892578</v>
      </c>
      <c r="G189" s="12">
        <f t="shared" si="20"/>
        <v>6.0648190079901814E-3</v>
      </c>
      <c r="H189" s="3">
        <f t="shared" si="21"/>
        <v>-8.6330633829236111E-3</v>
      </c>
      <c r="I189" s="3">
        <f t="shared" si="22"/>
        <v>3.4158779822613932E-3</v>
      </c>
      <c r="J189" s="3">
        <f t="shared" si="23"/>
        <v>-1.3129992174516483E-2</v>
      </c>
      <c r="K189" s="14">
        <f t="shared" si="24"/>
        <v>8.6099305767766976E-3</v>
      </c>
      <c r="L189" s="9">
        <v>0</v>
      </c>
      <c r="M189" s="2">
        <v>0.5</v>
      </c>
      <c r="N189" s="2">
        <v>0.2</v>
      </c>
      <c r="O189" s="2">
        <v>0.3</v>
      </c>
      <c r="P189" s="8">
        <v>0</v>
      </c>
      <c r="Q189" s="12">
        <f t="shared" si="17"/>
        <v>6.0552546842359656E-5</v>
      </c>
      <c r="R189" s="3">
        <f t="shared" si="18"/>
        <v>2.0397316678073531E-4</v>
      </c>
      <c r="S189" s="14">
        <f t="shared" si="19"/>
        <v>1.428191747563104E-2</v>
      </c>
    </row>
    <row r="190" spans="1:19" x14ac:dyDescent="0.35">
      <c r="A190" s="4">
        <v>43711</v>
      </c>
      <c r="B190" s="2">
        <v>43.169998</v>
      </c>
      <c r="C190" s="2">
        <v>19.286238000000001</v>
      </c>
      <c r="D190" s="2">
        <v>33.709606000000001</v>
      </c>
      <c r="E190" s="2">
        <v>55.321536999999999</v>
      </c>
      <c r="F190" s="8">
        <v>1395.3210449999999</v>
      </c>
      <c r="G190" s="12">
        <f t="shared" si="20"/>
        <v>3.9456475453538836E-3</v>
      </c>
      <c r="H190" s="3">
        <f t="shared" si="21"/>
        <v>-2.1422466557806219E-2</v>
      </c>
      <c r="I190" s="3">
        <f t="shared" si="22"/>
        <v>-2.8536296187927364E-2</v>
      </c>
      <c r="J190" s="3">
        <f t="shared" si="23"/>
        <v>5.5214068708238405E-3</v>
      </c>
      <c r="K190" s="14">
        <f t="shared" si="24"/>
        <v>3.0712128980796912E-4</v>
      </c>
      <c r="L190" s="9">
        <v>0.4</v>
      </c>
      <c r="M190" s="2">
        <v>0</v>
      </c>
      <c r="N190" s="2">
        <v>0.3</v>
      </c>
      <c r="O190" s="2">
        <v>0.3</v>
      </c>
      <c r="P190" s="8">
        <v>0</v>
      </c>
      <c r="Q190" s="12">
        <f t="shared" si="17"/>
        <v>-2.9597847497274599E-4</v>
      </c>
      <c r="R190" s="3">
        <f t="shared" si="18"/>
        <v>2.8433016633081653E-4</v>
      </c>
      <c r="S190" s="14">
        <f t="shared" si="19"/>
        <v>1.6862092584576108E-2</v>
      </c>
    </row>
    <row r="191" spans="1:19" x14ac:dyDescent="0.35">
      <c r="A191" s="4">
        <v>43712</v>
      </c>
      <c r="B191" s="2">
        <v>42.59</v>
      </c>
      <c r="C191" s="2">
        <v>20.055031</v>
      </c>
      <c r="D191" s="2">
        <v>36.025908999999999</v>
      </c>
      <c r="E191" s="2">
        <v>56.569462000000001</v>
      </c>
      <c r="F191" s="8">
        <v>1389.2620850000001</v>
      </c>
      <c r="G191" s="12">
        <f t="shared" si="20"/>
        <v>-1.3526279303794023E-2</v>
      </c>
      <c r="H191" s="3">
        <f t="shared" si="21"/>
        <v>3.9088260400045004E-2</v>
      </c>
      <c r="I191" s="3">
        <f t="shared" si="22"/>
        <v>6.645553279346475E-2</v>
      </c>
      <c r="J191" s="3">
        <f t="shared" si="23"/>
        <v>2.2307008754749735E-2</v>
      </c>
      <c r="K191" s="14">
        <f t="shared" si="24"/>
        <v>-4.3517965018430669E-3</v>
      </c>
      <c r="L191" s="9">
        <v>0.3</v>
      </c>
      <c r="M191" s="2">
        <v>0.1</v>
      </c>
      <c r="N191" s="2">
        <v>0.3</v>
      </c>
      <c r="O191" s="2">
        <v>0.3</v>
      </c>
      <c r="P191" s="8">
        <v>0</v>
      </c>
      <c r="Q191" s="12">
        <f t="shared" si="17"/>
        <v>-1.9572228622332711E-4</v>
      </c>
      <c r="R191" s="3">
        <f t="shared" si="18"/>
        <v>2.2570406462966376E-4</v>
      </c>
      <c r="S191" s="14">
        <f t="shared" si="19"/>
        <v>1.5023450490139199E-2</v>
      </c>
    </row>
    <row r="192" spans="1:19" x14ac:dyDescent="0.35">
      <c r="A192" s="4">
        <v>43713</v>
      </c>
      <c r="B192" s="2">
        <v>42.759998000000003</v>
      </c>
      <c r="C192" s="2">
        <v>21.364822</v>
      </c>
      <c r="D192" s="2">
        <v>36.508884000000002</v>
      </c>
      <c r="E192" s="2">
        <v>57.915652999999999</v>
      </c>
      <c r="F192" s="8">
        <v>1395.1217039999999</v>
      </c>
      <c r="G192" s="12">
        <f t="shared" si="20"/>
        <v>3.9835554490364692E-3</v>
      </c>
      <c r="H192" s="3">
        <f t="shared" si="21"/>
        <v>6.3265692708167634E-2</v>
      </c>
      <c r="I192" s="3">
        <f t="shared" si="22"/>
        <v>1.3317254187713831E-2</v>
      </c>
      <c r="J192" s="3">
        <f t="shared" si="23"/>
        <v>2.3518394496683227E-2</v>
      </c>
      <c r="K192" s="14">
        <f t="shared" si="24"/>
        <v>4.2089224002972176E-3</v>
      </c>
      <c r="L192" s="9">
        <v>0.2</v>
      </c>
      <c r="M192" s="2">
        <v>0.2</v>
      </c>
      <c r="N192" s="2">
        <v>0.3</v>
      </c>
      <c r="O192" s="2">
        <v>0.3</v>
      </c>
      <c r="P192" s="8">
        <v>0</v>
      </c>
      <c r="Q192" s="12">
        <f t="shared" si="17"/>
        <v>-9.5466097473908377E-5</v>
      </c>
      <c r="R192" s="3">
        <f t="shared" si="18"/>
        <v>1.9164594300964151E-4</v>
      </c>
      <c r="S192" s="14">
        <f t="shared" si="19"/>
        <v>1.3843624634092095E-2</v>
      </c>
    </row>
    <row r="193" spans="1:19" x14ac:dyDescent="0.35">
      <c r="A193" s="4">
        <v>43714</v>
      </c>
      <c r="B193" s="2">
        <v>43.299999</v>
      </c>
      <c r="C193" s="2">
        <v>21.554646000000002</v>
      </c>
      <c r="D193" s="2">
        <v>36.745441</v>
      </c>
      <c r="E193" s="2">
        <v>57.149208000000002</v>
      </c>
      <c r="F193" s="8">
        <v>1390.7768550000001</v>
      </c>
      <c r="G193" s="12">
        <f t="shared" si="20"/>
        <v>1.2549572529596979E-2</v>
      </c>
      <c r="H193" s="3">
        <f t="shared" si="21"/>
        <v>8.8456472823702746E-3</v>
      </c>
      <c r="I193" s="3">
        <f t="shared" si="22"/>
        <v>6.4585353092783734E-3</v>
      </c>
      <c r="J193" s="3">
        <f t="shared" si="23"/>
        <v>-1.3322161588277391E-2</v>
      </c>
      <c r="K193" s="14">
        <f t="shared" si="24"/>
        <v>-3.1191749668276919E-3</v>
      </c>
      <c r="L193" s="9">
        <v>0.1</v>
      </c>
      <c r="M193" s="2">
        <v>0.3</v>
      </c>
      <c r="N193" s="2">
        <v>0.3</v>
      </c>
      <c r="O193" s="2">
        <v>0.3</v>
      </c>
      <c r="P193" s="8">
        <v>0</v>
      </c>
      <c r="Q193" s="12">
        <f t="shared" si="17"/>
        <v>4.790091275510438E-6</v>
      </c>
      <c r="R193" s="3">
        <f t="shared" si="18"/>
        <v>1.8215580147074972E-4</v>
      </c>
      <c r="S193" s="14">
        <f t="shared" si="19"/>
        <v>1.3496510714653241E-2</v>
      </c>
    </row>
    <row r="194" spans="1:19" x14ac:dyDescent="0.35">
      <c r="A194" s="4">
        <v>43717</v>
      </c>
      <c r="B194" s="2">
        <v>42.799999</v>
      </c>
      <c r="C194" s="2">
        <v>20.985171999999999</v>
      </c>
      <c r="D194" s="2">
        <v>36.380749000000002</v>
      </c>
      <c r="E194" s="2">
        <v>57.011645999999999</v>
      </c>
      <c r="F194" s="8">
        <v>1380.6022949999999</v>
      </c>
      <c r="G194" s="12">
        <f t="shared" si="20"/>
        <v>-1.1614532690490793E-2</v>
      </c>
      <c r="H194" s="3">
        <f t="shared" si="21"/>
        <v>-2.6775291877872372E-2</v>
      </c>
      <c r="I194" s="3">
        <f t="shared" si="22"/>
        <v>-9.9744024283552526E-3</v>
      </c>
      <c r="J194" s="3">
        <f t="shared" si="23"/>
        <v>-2.4099691226809605E-3</v>
      </c>
      <c r="K194" s="14">
        <f t="shared" si="24"/>
        <v>-7.3426299052171979E-3</v>
      </c>
      <c r="L194" s="9">
        <v>0</v>
      </c>
      <c r="M194" s="2">
        <v>0.4</v>
      </c>
      <c r="N194" s="2">
        <v>0.3</v>
      </c>
      <c r="O194" s="2">
        <v>0.3</v>
      </c>
      <c r="P194" s="8">
        <v>0</v>
      </c>
      <c r="Q194" s="12">
        <f t="shared" si="17"/>
        <v>1.0504628002492927E-4</v>
      </c>
      <c r="R194" s="3">
        <f t="shared" si="18"/>
        <v>1.9723364001298843E-4</v>
      </c>
      <c r="S194" s="14">
        <f t="shared" si="19"/>
        <v>1.4043989462150292E-2</v>
      </c>
    </row>
    <row r="195" spans="1:19" x14ac:dyDescent="0.35">
      <c r="A195" s="4">
        <v>43718</v>
      </c>
      <c r="B195" s="2">
        <v>45.07</v>
      </c>
      <c r="C195" s="2">
        <v>21.250927000000001</v>
      </c>
      <c r="D195" s="2">
        <v>36.765155999999998</v>
      </c>
      <c r="E195" s="2">
        <v>55.567188000000002</v>
      </c>
      <c r="F195" s="8">
        <v>1375.978394</v>
      </c>
      <c r="G195" s="12">
        <f t="shared" si="20"/>
        <v>5.1678757479292084E-2</v>
      </c>
      <c r="H195" s="3">
        <f t="shared" si="21"/>
        <v>1.2584424865682382E-2</v>
      </c>
      <c r="I195" s="3">
        <f t="shared" si="22"/>
        <v>1.0510787691902465E-2</v>
      </c>
      <c r="J195" s="3">
        <f t="shared" si="23"/>
        <v>-2.5662679586193463E-2</v>
      </c>
      <c r="K195" s="14">
        <f t="shared" si="24"/>
        <v>-3.3548122535966012E-3</v>
      </c>
      <c r="L195" s="9">
        <v>0.3</v>
      </c>
      <c r="M195" s="2">
        <v>0</v>
      </c>
      <c r="N195" s="2">
        <v>0.4</v>
      </c>
      <c r="O195" s="2">
        <v>0.3</v>
      </c>
      <c r="P195" s="8">
        <v>0</v>
      </c>
      <c r="Q195" s="12">
        <f t="shared" ref="Q195:Q258" si="25">SUMPRODUCT($U$5:$Y$5,L195:P195)</f>
        <v>-1.512285530407575E-4</v>
      </c>
      <c r="R195" s="3">
        <f t="shared" ref="R195:R258" si="26">POWER(L195,2)*$V$9+POWER(M195,2)*$W$10+POWER(N195,2)*$X$11+POWER(O195,2)*$Y$12+POWER(P195,2)*$Z$13+2*(L195*M195*$V$10+N195*O195*$X$12+N195*P195*$X$13+$O$3*P195*$Y$13+L195*N195*$V$11+L195*O195*$V$12+L195*P195*$V$13+M195*N195*$W$11+M195*O195*$W$12+M195*P195*$W$13)</f>
        <v>2.4604414770343038E-4</v>
      </c>
      <c r="S195" s="14">
        <f t="shared" si="19"/>
        <v>1.5685794455603145E-2</v>
      </c>
    </row>
    <row r="196" spans="1:19" x14ac:dyDescent="0.35">
      <c r="A196" s="4">
        <v>43719</v>
      </c>
      <c r="B196" s="2">
        <v>44.139999000000003</v>
      </c>
      <c r="C196" s="2">
        <v>21.326854999999998</v>
      </c>
      <c r="D196" s="2">
        <v>36.213188000000002</v>
      </c>
      <c r="E196" s="2">
        <v>55.822673999999999</v>
      </c>
      <c r="F196" s="8">
        <v>1391.13562</v>
      </c>
      <c r="G196" s="12">
        <f t="shared" si="20"/>
        <v>-2.0850458529154826E-2</v>
      </c>
      <c r="H196" s="3">
        <f t="shared" si="21"/>
        <v>3.5665587505623844E-3</v>
      </c>
      <c r="I196" s="3">
        <f t="shared" si="22"/>
        <v>-1.512718692580118E-2</v>
      </c>
      <c r="J196" s="3">
        <f t="shared" si="23"/>
        <v>4.587247769684377E-3</v>
      </c>
      <c r="K196" s="14">
        <f t="shared" si="24"/>
        <v>1.0955369038406907E-2</v>
      </c>
      <c r="L196" s="9">
        <v>0.2</v>
      </c>
      <c r="M196" s="2">
        <v>0.1</v>
      </c>
      <c r="N196" s="2">
        <v>0.4</v>
      </c>
      <c r="O196" s="2">
        <v>0.3</v>
      </c>
      <c r="P196" s="8">
        <v>0</v>
      </c>
      <c r="Q196" s="12">
        <f t="shared" si="25"/>
        <v>-5.0972364291338739E-5</v>
      </c>
      <c r="R196" s="3">
        <f t="shared" si="26"/>
        <v>2.0769233412621724E-4</v>
      </c>
      <c r="S196" s="14">
        <f t="shared" ref="S196:S259" si="27">SQRT(R196)</f>
        <v>1.4411534759567326E-2</v>
      </c>
    </row>
    <row r="197" spans="1:19" x14ac:dyDescent="0.35">
      <c r="A197" s="4">
        <v>43720</v>
      </c>
      <c r="B197" s="2">
        <v>44.68</v>
      </c>
      <c r="C197" s="2">
        <v>22.010228999999999</v>
      </c>
      <c r="D197" s="2">
        <v>35.631649000000003</v>
      </c>
      <c r="E197" s="2">
        <v>57.326084000000002</v>
      </c>
      <c r="F197" s="8">
        <v>1400.3236079999999</v>
      </c>
      <c r="G197" s="12">
        <f t="shared" ref="G197:G260" si="28">LN(B197/B196)</f>
        <v>1.215959602759783E-2</v>
      </c>
      <c r="H197" s="3">
        <f t="shared" ref="H197:H260" si="29">LN(C197/C196)</f>
        <v>3.1540223146977471E-2</v>
      </c>
      <c r="I197" s="3">
        <f t="shared" ref="I197:I260" si="30">LN(D197/D196)</f>
        <v>-1.6189102108946918E-2</v>
      </c>
      <c r="J197" s="3">
        <f t="shared" ref="J197:J260" si="31">LN(E197/E196)</f>
        <v>2.6575607352545879E-2</v>
      </c>
      <c r="K197" s="14">
        <f t="shared" ref="K197:K260" si="32">LN(F197/F196)</f>
        <v>6.5829520905294567E-3</v>
      </c>
      <c r="L197" s="9">
        <v>0.1</v>
      </c>
      <c r="M197" s="2">
        <v>0.2</v>
      </c>
      <c r="N197" s="2">
        <v>0.4</v>
      </c>
      <c r="O197" s="2">
        <v>0.3</v>
      </c>
      <c r="P197" s="8">
        <v>0</v>
      </c>
      <c r="Q197" s="12">
        <f t="shared" si="25"/>
        <v>4.928382445808009E-5</v>
      </c>
      <c r="R197" s="3">
        <f t="shared" si="26"/>
        <v>1.9390850063013458E-4</v>
      </c>
      <c r="S197" s="14">
        <f t="shared" si="27"/>
        <v>1.392510325384105E-2</v>
      </c>
    </row>
    <row r="198" spans="1:19" x14ac:dyDescent="0.35">
      <c r="A198" s="4">
        <v>43721</v>
      </c>
      <c r="B198" s="2">
        <v>44.950001</v>
      </c>
      <c r="C198" s="2">
        <v>21.886842999999999</v>
      </c>
      <c r="D198" s="2">
        <v>36.203330999999999</v>
      </c>
      <c r="E198" s="2">
        <v>56.667724999999997</v>
      </c>
      <c r="F198" s="8">
        <v>1388.445068</v>
      </c>
      <c r="G198" s="12">
        <f t="shared" si="28"/>
        <v>6.024808963570028E-3</v>
      </c>
      <c r="H198" s="3">
        <f t="shared" si="29"/>
        <v>-5.621619817518882E-3</v>
      </c>
      <c r="I198" s="3">
        <f t="shared" si="30"/>
        <v>1.5916871402555825E-2</v>
      </c>
      <c r="J198" s="3">
        <f t="shared" si="31"/>
        <v>-1.1550913612095199E-2</v>
      </c>
      <c r="K198" s="14">
        <f t="shared" si="32"/>
        <v>-8.5188936172033644E-3</v>
      </c>
      <c r="L198" s="9">
        <v>0</v>
      </c>
      <c r="M198" s="2">
        <v>0.3</v>
      </c>
      <c r="N198" s="2">
        <v>0.4</v>
      </c>
      <c r="O198" s="2">
        <v>0.3</v>
      </c>
      <c r="P198" s="8">
        <v>0</v>
      </c>
      <c r="Q198" s="12">
        <f t="shared" si="25"/>
        <v>1.4954001320749888E-4</v>
      </c>
      <c r="R198" s="3">
        <f t="shared" si="26"/>
        <v>2.0469264721518238E-4</v>
      </c>
      <c r="S198" s="14">
        <f t="shared" si="27"/>
        <v>1.4307083812405041E-2</v>
      </c>
    </row>
    <row r="199" spans="1:19" x14ac:dyDescent="0.35">
      <c r="A199" s="4">
        <v>43725</v>
      </c>
      <c r="B199" s="2">
        <v>44.59</v>
      </c>
      <c r="C199" s="2">
        <v>21.715997999999999</v>
      </c>
      <c r="D199" s="2">
        <v>35.710498999999999</v>
      </c>
      <c r="E199" s="2">
        <v>55.744061000000002</v>
      </c>
      <c r="F199" s="8">
        <v>1381.4693600000001</v>
      </c>
      <c r="G199" s="12">
        <f t="shared" si="28"/>
        <v>-8.0411645251847255E-3</v>
      </c>
      <c r="H199" s="3">
        <f t="shared" si="29"/>
        <v>-7.8364560831721553E-3</v>
      </c>
      <c r="I199" s="3">
        <f t="shared" si="30"/>
        <v>-1.3706395987478262E-2</v>
      </c>
      <c r="J199" s="3">
        <f t="shared" si="31"/>
        <v>-1.643394916072375E-2</v>
      </c>
      <c r="K199" s="14">
        <f t="shared" si="32"/>
        <v>-5.0367785205109698E-3</v>
      </c>
      <c r="L199" s="9">
        <v>0.2</v>
      </c>
      <c r="M199" s="2">
        <v>0</v>
      </c>
      <c r="N199" s="2">
        <v>0.5</v>
      </c>
      <c r="O199" s="2">
        <v>0.3</v>
      </c>
      <c r="P199" s="8">
        <v>0</v>
      </c>
      <c r="Q199" s="12">
        <f t="shared" si="25"/>
        <v>-6.4786311087691278E-6</v>
      </c>
      <c r="R199" s="3">
        <f t="shared" si="26"/>
        <v>2.3793725921273377E-4</v>
      </c>
      <c r="S199" s="14">
        <f t="shared" si="27"/>
        <v>1.5425215045915366E-2</v>
      </c>
    </row>
    <row r="200" spans="1:19" x14ac:dyDescent="0.35">
      <c r="A200" s="4">
        <v>43726</v>
      </c>
      <c r="B200" s="2">
        <v>44.84</v>
      </c>
      <c r="C200" s="2">
        <v>21.507193000000001</v>
      </c>
      <c r="D200" s="2">
        <v>35.335945000000002</v>
      </c>
      <c r="E200" s="2">
        <v>54.535442000000003</v>
      </c>
      <c r="F200" s="8">
        <v>1389.810303</v>
      </c>
      <c r="G200" s="12">
        <f t="shared" si="28"/>
        <v>5.5909795645739304E-3</v>
      </c>
      <c r="H200" s="3">
        <f t="shared" si="29"/>
        <v>-9.6617866241512831E-3</v>
      </c>
      <c r="I200" s="3">
        <f t="shared" si="30"/>
        <v>-1.0544017378856192E-2</v>
      </c>
      <c r="J200" s="3">
        <f t="shared" si="31"/>
        <v>-2.1920073282981536E-2</v>
      </c>
      <c r="K200" s="14">
        <f t="shared" si="32"/>
        <v>6.019578823276671E-3</v>
      </c>
      <c r="L200" s="9">
        <v>0.1</v>
      </c>
      <c r="M200" s="2">
        <v>0.1</v>
      </c>
      <c r="N200" s="2">
        <v>0.5</v>
      </c>
      <c r="O200" s="2">
        <v>0.3</v>
      </c>
      <c r="P200" s="8">
        <v>0</v>
      </c>
      <c r="Q200" s="12">
        <f t="shared" si="25"/>
        <v>9.3777557640649674E-5</v>
      </c>
      <c r="R200" s="3">
        <f t="shared" si="26"/>
        <v>2.1985973375946018E-4</v>
      </c>
      <c r="S200" s="14">
        <f t="shared" si="27"/>
        <v>1.4827667846275091E-2</v>
      </c>
    </row>
    <row r="201" spans="1:19" x14ac:dyDescent="0.35">
      <c r="A201" s="4">
        <v>43727</v>
      </c>
      <c r="B201" s="2">
        <v>45.009998000000003</v>
      </c>
      <c r="C201" s="2">
        <v>21.545158000000001</v>
      </c>
      <c r="D201" s="2">
        <v>35.552791999999997</v>
      </c>
      <c r="E201" s="2">
        <v>54.230826999999998</v>
      </c>
      <c r="F201" s="8">
        <v>1394.643433</v>
      </c>
      <c r="G201" s="12">
        <f t="shared" si="28"/>
        <v>3.7840446663110665E-3</v>
      </c>
      <c r="H201" s="3">
        <f t="shared" si="29"/>
        <v>1.7636672079028148E-3</v>
      </c>
      <c r="I201" s="3">
        <f t="shared" si="30"/>
        <v>6.1179726300972055E-3</v>
      </c>
      <c r="J201" s="3">
        <f t="shared" si="31"/>
        <v>-5.6012916362404019E-3</v>
      </c>
      <c r="K201" s="14">
        <f t="shared" si="32"/>
        <v>3.4715138494470763E-3</v>
      </c>
      <c r="L201" s="9">
        <v>0</v>
      </c>
      <c r="M201" s="2">
        <v>0.2</v>
      </c>
      <c r="N201" s="2">
        <v>0.5</v>
      </c>
      <c r="O201" s="2">
        <v>0.3</v>
      </c>
      <c r="P201" s="8">
        <v>0</v>
      </c>
      <c r="Q201" s="12">
        <f t="shared" si="25"/>
        <v>1.9403374639006849E-4</v>
      </c>
      <c r="R201" s="3">
        <f t="shared" si="26"/>
        <v>2.2635018838731714E-4</v>
      </c>
      <c r="S201" s="14">
        <f t="shared" si="27"/>
        <v>1.5044938962565356E-2</v>
      </c>
    </row>
    <row r="202" spans="1:19" x14ac:dyDescent="0.35">
      <c r="A202" s="4">
        <v>43728</v>
      </c>
      <c r="B202" s="2">
        <v>45.389999000000003</v>
      </c>
      <c r="C202" s="2">
        <v>21.924809</v>
      </c>
      <c r="D202" s="2">
        <v>36.538455999999996</v>
      </c>
      <c r="E202" s="2">
        <v>54.053958999999999</v>
      </c>
      <c r="F202" s="8">
        <v>1458.520874</v>
      </c>
      <c r="G202" s="12">
        <f t="shared" si="28"/>
        <v>8.4071515668192841E-3</v>
      </c>
      <c r="H202" s="3">
        <f t="shared" si="29"/>
        <v>1.7467722174807878E-2</v>
      </c>
      <c r="I202" s="3">
        <f t="shared" si="30"/>
        <v>2.7346604557337211E-2</v>
      </c>
      <c r="J202" s="3">
        <f t="shared" si="31"/>
        <v>-3.2667222020797133E-3</v>
      </c>
      <c r="K202" s="14">
        <f t="shared" si="32"/>
        <v>4.4784043170634981E-2</v>
      </c>
      <c r="L202" s="9">
        <v>0.1</v>
      </c>
      <c r="M202" s="2">
        <v>0</v>
      </c>
      <c r="N202" s="2">
        <v>0.6</v>
      </c>
      <c r="O202" s="2">
        <v>0.3</v>
      </c>
      <c r="P202" s="8">
        <v>0</v>
      </c>
      <c r="Q202" s="12">
        <f t="shared" si="25"/>
        <v>1.382712908232193E-4</v>
      </c>
      <c r="R202" s="3">
        <f t="shared" si="26"/>
        <v>2.6000950085872663E-4</v>
      </c>
      <c r="S202" s="14">
        <f t="shared" si="27"/>
        <v>1.6124810103028395E-2</v>
      </c>
    </row>
    <row r="203" spans="1:19" x14ac:dyDescent="0.35">
      <c r="A203" s="4">
        <v>43731</v>
      </c>
      <c r="B203" s="2">
        <v>45.259998000000003</v>
      </c>
      <c r="C203" s="2">
        <v>21.279399999999999</v>
      </c>
      <c r="D203" s="2">
        <v>37.356555999999998</v>
      </c>
      <c r="E203" s="2">
        <v>54.201351000000003</v>
      </c>
      <c r="F203" s="8">
        <v>1424.668823</v>
      </c>
      <c r="G203" s="12">
        <f t="shared" si="28"/>
        <v>-2.8681984208287271E-3</v>
      </c>
      <c r="H203" s="3">
        <f t="shared" si="29"/>
        <v>-2.9879358116546066E-2</v>
      </c>
      <c r="I203" s="3">
        <f t="shared" si="30"/>
        <v>2.2143129963100448E-2</v>
      </c>
      <c r="J203" s="3">
        <f t="shared" si="31"/>
        <v>2.7230459378981809E-3</v>
      </c>
      <c r="K203" s="14">
        <f t="shared" si="32"/>
        <v>-2.3483440389444311E-2</v>
      </c>
      <c r="L203" s="9">
        <v>0</v>
      </c>
      <c r="M203" s="2">
        <v>0.1</v>
      </c>
      <c r="N203" s="2">
        <v>0.6</v>
      </c>
      <c r="O203" s="2">
        <v>0.3</v>
      </c>
      <c r="P203" s="8">
        <v>0</v>
      </c>
      <c r="Q203" s="12">
        <f t="shared" si="25"/>
        <v>2.385274795726381E-4</v>
      </c>
      <c r="R203" s="3">
        <f t="shared" si="26"/>
        <v>2.6220626352939271E-4</v>
      </c>
      <c r="S203" s="14">
        <f t="shared" si="27"/>
        <v>1.6192784304417594E-2</v>
      </c>
    </row>
    <row r="204" spans="1:19" x14ac:dyDescent="0.35">
      <c r="A204" s="4">
        <v>43732</v>
      </c>
      <c r="B204" s="2">
        <v>45.16</v>
      </c>
      <c r="C204" s="2">
        <v>20.909244999999999</v>
      </c>
      <c r="D204" s="2">
        <v>36.154045000000004</v>
      </c>
      <c r="E204" s="2">
        <v>54.230826999999998</v>
      </c>
      <c r="F204" s="8">
        <v>1411.903198</v>
      </c>
      <c r="G204" s="12">
        <f t="shared" si="28"/>
        <v>-2.2118567347997687E-3</v>
      </c>
      <c r="H204" s="3">
        <f t="shared" si="29"/>
        <v>-1.7548062924334501E-2</v>
      </c>
      <c r="I204" s="3">
        <f t="shared" si="30"/>
        <v>-3.2719587729803289E-2</v>
      </c>
      <c r="J204" s="3">
        <f t="shared" si="31"/>
        <v>5.4367626418134693E-4</v>
      </c>
      <c r="K204" s="14">
        <f t="shared" si="32"/>
        <v>-9.000801734415094E-3</v>
      </c>
      <c r="L204" s="9">
        <v>0</v>
      </c>
      <c r="M204" s="2">
        <v>0</v>
      </c>
      <c r="N204" s="2">
        <v>0.7</v>
      </c>
      <c r="O204" s="2">
        <v>0.3</v>
      </c>
      <c r="P204" s="8">
        <v>0</v>
      </c>
      <c r="Q204" s="12">
        <f t="shared" si="25"/>
        <v>2.8302121275520771E-4</v>
      </c>
      <c r="R204" s="3">
        <f t="shared" si="26"/>
        <v>3.1226087264140908E-4</v>
      </c>
      <c r="S204" s="14">
        <f t="shared" si="27"/>
        <v>1.7670904692216782E-2</v>
      </c>
    </row>
    <row r="205" spans="1:19" x14ac:dyDescent="0.35">
      <c r="A205" s="4">
        <v>43733</v>
      </c>
      <c r="B205" s="2">
        <v>44.77</v>
      </c>
      <c r="C205" s="2">
        <v>21.279399999999999</v>
      </c>
      <c r="D205" s="2">
        <v>35.661217000000001</v>
      </c>
      <c r="E205" s="2">
        <v>54.731968000000002</v>
      </c>
      <c r="F205" s="8">
        <v>1380.881226</v>
      </c>
      <c r="G205" s="12">
        <f t="shared" si="28"/>
        <v>-8.6734670285869581E-3</v>
      </c>
      <c r="H205" s="3">
        <f t="shared" si="29"/>
        <v>1.7548062924334418E-2</v>
      </c>
      <c r="I205" s="3">
        <f t="shared" si="30"/>
        <v>-1.3725097500421982E-2</v>
      </c>
      <c r="J205" s="3">
        <f t="shared" si="31"/>
        <v>9.1984522518961491E-3</v>
      </c>
      <c r="K205" s="14">
        <f t="shared" si="32"/>
        <v>-2.2216715128170434E-2</v>
      </c>
      <c r="L205" s="9">
        <v>0.6</v>
      </c>
      <c r="M205" s="2">
        <v>0</v>
      </c>
      <c r="N205" s="2">
        <v>0</v>
      </c>
      <c r="O205" s="2">
        <v>0.4</v>
      </c>
      <c r="P205" s="8">
        <v>0</v>
      </c>
      <c r="Q205" s="12">
        <f t="shared" si="25"/>
        <v>-5.8767644690477998E-4</v>
      </c>
      <c r="R205" s="3">
        <f t="shared" si="26"/>
        <v>4.6343323919543279E-4</v>
      </c>
      <c r="S205" s="14">
        <f t="shared" si="27"/>
        <v>2.1527499603888809E-2</v>
      </c>
    </row>
    <row r="206" spans="1:19" x14ac:dyDescent="0.35">
      <c r="A206" s="4">
        <v>43734</v>
      </c>
      <c r="B206" s="2">
        <v>44.73</v>
      </c>
      <c r="C206" s="2">
        <v>21.118051999999999</v>
      </c>
      <c r="D206" s="2">
        <v>35.552791999999997</v>
      </c>
      <c r="E206" s="2">
        <v>55.950409000000001</v>
      </c>
      <c r="F206" s="8">
        <v>1390.497803</v>
      </c>
      <c r="G206" s="12">
        <f t="shared" si="28"/>
        <v>-8.9385480811761246E-4</v>
      </c>
      <c r="H206" s="3">
        <f t="shared" si="29"/>
        <v>-7.6112488515409603E-3</v>
      </c>
      <c r="I206" s="3">
        <f t="shared" si="30"/>
        <v>-3.0450492902123131E-3</v>
      </c>
      <c r="J206" s="3">
        <f t="shared" si="31"/>
        <v>2.2017781979230044E-2</v>
      </c>
      <c r="K206" s="14">
        <f t="shared" si="32"/>
        <v>6.939949747901436E-3</v>
      </c>
      <c r="L206" s="9">
        <v>0.5</v>
      </c>
      <c r="M206" s="2">
        <v>0.1</v>
      </c>
      <c r="N206" s="2">
        <v>0</v>
      </c>
      <c r="O206" s="2">
        <v>0.4</v>
      </c>
      <c r="P206" s="8">
        <v>0</v>
      </c>
      <c r="Q206" s="12">
        <f t="shared" si="25"/>
        <v>-4.8742025815536126E-4</v>
      </c>
      <c r="R206" s="3">
        <f t="shared" si="26"/>
        <v>3.6292006713995394E-4</v>
      </c>
      <c r="S206" s="14">
        <f t="shared" si="27"/>
        <v>1.9050461074209043E-2</v>
      </c>
    </row>
    <row r="207" spans="1:19" x14ac:dyDescent="0.35">
      <c r="A207" s="4">
        <v>43735</v>
      </c>
      <c r="B207" s="2">
        <v>45.240001999999997</v>
      </c>
      <c r="C207" s="2">
        <v>21.345842000000001</v>
      </c>
      <c r="D207" s="2">
        <v>35.533081000000003</v>
      </c>
      <c r="E207" s="2">
        <v>57.335906999999999</v>
      </c>
      <c r="F207" s="8">
        <v>1393.487427</v>
      </c>
      <c r="G207" s="12">
        <f t="shared" si="28"/>
        <v>1.1337278011826792E-2</v>
      </c>
      <c r="H207" s="3">
        <f t="shared" si="29"/>
        <v>1.0728746873550335E-2</v>
      </c>
      <c r="I207" s="3">
        <f t="shared" si="30"/>
        <v>-5.5456871170911988E-4</v>
      </c>
      <c r="J207" s="3">
        <f t="shared" si="31"/>
        <v>2.4461331843204395E-2</v>
      </c>
      <c r="K207" s="14">
        <f t="shared" si="32"/>
        <v>2.1477306107678278E-3</v>
      </c>
      <c r="L207" s="9">
        <v>0.4</v>
      </c>
      <c r="M207" s="2">
        <v>0.2</v>
      </c>
      <c r="N207" s="2">
        <v>0</v>
      </c>
      <c r="O207" s="2">
        <v>0.4</v>
      </c>
      <c r="P207" s="8">
        <v>0</v>
      </c>
      <c r="Q207" s="12">
        <f t="shared" si="25"/>
        <v>-3.8716406940594243E-4</v>
      </c>
      <c r="R207" s="3">
        <f t="shared" si="26"/>
        <v>2.8697487516560552E-4</v>
      </c>
      <c r="S207" s="14">
        <f t="shared" si="27"/>
        <v>1.6940332793826854E-2</v>
      </c>
    </row>
    <row r="208" spans="1:19" x14ac:dyDescent="0.35">
      <c r="A208" s="4">
        <v>43738</v>
      </c>
      <c r="B208" s="2">
        <v>45.880001</v>
      </c>
      <c r="C208" s="2">
        <v>21.478718000000001</v>
      </c>
      <c r="D208" s="2">
        <v>35.473942000000001</v>
      </c>
      <c r="E208" s="2">
        <v>57.463650000000001</v>
      </c>
      <c r="F208" s="8">
        <v>1394.882568</v>
      </c>
      <c r="G208" s="12">
        <f t="shared" si="28"/>
        <v>1.4047618600575608E-2</v>
      </c>
      <c r="H208" s="3">
        <f t="shared" si="29"/>
        <v>6.2056178238633353E-3</v>
      </c>
      <c r="I208" s="3">
        <f t="shared" si="30"/>
        <v>-1.6657229433230569E-3</v>
      </c>
      <c r="J208" s="3">
        <f t="shared" si="31"/>
        <v>2.2254973113562827E-3</v>
      </c>
      <c r="K208" s="14">
        <f t="shared" si="32"/>
        <v>1.0006857905679265E-3</v>
      </c>
      <c r="L208" s="9">
        <v>0.3</v>
      </c>
      <c r="M208" s="2">
        <v>0.3</v>
      </c>
      <c r="N208" s="2">
        <v>0</v>
      </c>
      <c r="O208" s="2">
        <v>0.4</v>
      </c>
      <c r="P208" s="8">
        <v>0</v>
      </c>
      <c r="Q208" s="12">
        <f t="shared" si="25"/>
        <v>-2.869078806565236E-4</v>
      </c>
      <c r="R208" s="3">
        <f t="shared" si="26"/>
        <v>2.3559766327238758E-4</v>
      </c>
      <c r="S208" s="14">
        <f t="shared" si="27"/>
        <v>1.5349190964750799E-2</v>
      </c>
    </row>
    <row r="209" spans="1:19" x14ac:dyDescent="0.35">
      <c r="A209" s="4">
        <v>43739</v>
      </c>
      <c r="B209" s="2">
        <v>46.119999</v>
      </c>
      <c r="C209" s="2">
        <v>21.450244999999999</v>
      </c>
      <c r="D209" s="2">
        <v>35.720356000000002</v>
      </c>
      <c r="E209" s="2">
        <v>57.463650000000001</v>
      </c>
      <c r="F209" s="8">
        <v>1388.6342770000001</v>
      </c>
      <c r="G209" s="12">
        <f t="shared" si="28"/>
        <v>5.2173596611316576E-3</v>
      </c>
      <c r="H209" s="3">
        <f t="shared" si="29"/>
        <v>-1.3265172128759308E-3</v>
      </c>
      <c r="I209" s="3">
        <f t="shared" si="30"/>
        <v>6.9223235822329782E-3</v>
      </c>
      <c r="J209" s="3">
        <f t="shared" si="31"/>
        <v>0</v>
      </c>
      <c r="K209" s="14">
        <f t="shared" si="32"/>
        <v>-4.489501478009833E-3</v>
      </c>
      <c r="L209" s="9">
        <v>0.2</v>
      </c>
      <c r="M209" s="2">
        <v>0.4</v>
      </c>
      <c r="N209" s="2">
        <v>0</v>
      </c>
      <c r="O209" s="2">
        <v>0.4</v>
      </c>
      <c r="P209" s="8">
        <v>0</v>
      </c>
      <c r="Q209" s="12">
        <f t="shared" si="25"/>
        <v>-1.8665169190710477E-4</v>
      </c>
      <c r="R209" s="3">
        <f t="shared" si="26"/>
        <v>2.0878843146030017E-4</v>
      </c>
      <c r="S209" s="14">
        <f t="shared" si="27"/>
        <v>1.4449513191118245E-2</v>
      </c>
    </row>
    <row r="210" spans="1:19" x14ac:dyDescent="0.35">
      <c r="A210" s="4">
        <v>43740</v>
      </c>
      <c r="B210" s="2">
        <v>47.200001</v>
      </c>
      <c r="C210" s="2">
        <v>20.814333000000001</v>
      </c>
      <c r="D210" s="2">
        <v>34.971252</v>
      </c>
      <c r="E210" s="2">
        <v>56.402416000000002</v>
      </c>
      <c r="F210" s="8">
        <v>1399.0581050000001</v>
      </c>
      <c r="G210" s="12">
        <f t="shared" si="28"/>
        <v>2.3147240059659315E-2</v>
      </c>
      <c r="H210" s="3">
        <f t="shared" si="29"/>
        <v>-3.0094231285600841E-2</v>
      </c>
      <c r="I210" s="3">
        <f t="shared" si="30"/>
        <v>-2.1194369813505674E-2</v>
      </c>
      <c r="J210" s="3">
        <f t="shared" si="31"/>
        <v>-1.8640579518105372E-2</v>
      </c>
      <c r="K210" s="14">
        <f t="shared" si="32"/>
        <v>7.4784984521218721E-3</v>
      </c>
      <c r="L210" s="9">
        <v>0.1</v>
      </c>
      <c r="M210" s="2">
        <v>0.5</v>
      </c>
      <c r="N210" s="2">
        <v>0</v>
      </c>
      <c r="O210" s="2">
        <v>0.4</v>
      </c>
      <c r="P210" s="8">
        <v>0</v>
      </c>
      <c r="Q210" s="12">
        <f t="shared" si="25"/>
        <v>-8.639550315768601E-5</v>
      </c>
      <c r="R210" s="3">
        <f t="shared" si="26"/>
        <v>2.0654717972934318E-4</v>
      </c>
      <c r="S210" s="14">
        <f t="shared" si="27"/>
        <v>1.4371749362180764E-2</v>
      </c>
    </row>
    <row r="211" spans="1:19" x14ac:dyDescent="0.35">
      <c r="A211" s="4">
        <v>43741</v>
      </c>
      <c r="B211" s="2">
        <v>47.220001000000003</v>
      </c>
      <c r="C211" s="2">
        <v>20.890259</v>
      </c>
      <c r="D211" s="2">
        <v>34.774120000000003</v>
      </c>
      <c r="E211" s="2">
        <v>57.178688000000001</v>
      </c>
      <c r="F211" s="8">
        <v>1389.8999020000001</v>
      </c>
      <c r="G211" s="12">
        <f t="shared" si="28"/>
        <v>4.2363905688372507E-4</v>
      </c>
      <c r="H211" s="3">
        <f t="shared" si="29"/>
        <v>3.6411378336864211E-3</v>
      </c>
      <c r="I211" s="3">
        <f t="shared" si="30"/>
        <v>-5.652920596773154E-3</v>
      </c>
      <c r="J211" s="3">
        <f t="shared" si="31"/>
        <v>1.3669247079256045E-2</v>
      </c>
      <c r="K211" s="14">
        <f t="shared" si="32"/>
        <v>-6.567496458987067E-3</v>
      </c>
      <c r="L211" s="9">
        <v>0</v>
      </c>
      <c r="M211" s="2">
        <v>0.6</v>
      </c>
      <c r="N211" s="2">
        <v>0</v>
      </c>
      <c r="O211" s="2">
        <v>0.4</v>
      </c>
      <c r="P211" s="8">
        <v>0</v>
      </c>
      <c r="Q211" s="12">
        <f t="shared" si="25"/>
        <v>1.3860685591732819E-5</v>
      </c>
      <c r="R211" s="3">
        <f t="shared" si="26"/>
        <v>2.2887390807951671E-4</v>
      </c>
      <c r="S211" s="14">
        <f t="shared" si="27"/>
        <v>1.5128579182445281E-2</v>
      </c>
    </row>
    <row r="212" spans="1:19" x14ac:dyDescent="0.35">
      <c r="A212" s="4">
        <v>43742</v>
      </c>
      <c r="B212" s="2">
        <v>47.880001</v>
      </c>
      <c r="C212" s="2">
        <v>20.747892</v>
      </c>
      <c r="D212" s="2">
        <v>35.266948999999997</v>
      </c>
      <c r="E212" s="2">
        <v>57.896000000000001</v>
      </c>
      <c r="F212" s="8">
        <v>1395.0020750000001</v>
      </c>
      <c r="G212" s="12">
        <f t="shared" si="28"/>
        <v>1.3880348740485391E-2</v>
      </c>
      <c r="H212" s="3">
        <f t="shared" si="29"/>
        <v>-6.8383226136925586E-3</v>
      </c>
      <c r="I212" s="3">
        <f t="shared" si="30"/>
        <v>1.4072804441391154E-2</v>
      </c>
      <c r="J212" s="3">
        <f t="shared" si="31"/>
        <v>1.2467056018597725E-2</v>
      </c>
      <c r="K212" s="14">
        <f t="shared" si="32"/>
        <v>3.6641711275167657E-3</v>
      </c>
      <c r="L212" s="9">
        <v>0.5</v>
      </c>
      <c r="M212" s="2">
        <v>0</v>
      </c>
      <c r="N212" s="2">
        <v>0.1</v>
      </c>
      <c r="O212" s="2">
        <v>0.4</v>
      </c>
      <c r="P212" s="8">
        <v>0</v>
      </c>
      <c r="Q212" s="12">
        <f t="shared" si="25"/>
        <v>-4.4292652497279165E-4</v>
      </c>
      <c r="R212" s="3">
        <f t="shared" si="26"/>
        <v>3.5573342680257685E-4</v>
      </c>
      <c r="S212" s="14">
        <f t="shared" si="27"/>
        <v>1.8860896765598843E-2</v>
      </c>
    </row>
    <row r="213" spans="1:19" x14ac:dyDescent="0.35">
      <c r="A213" s="4">
        <v>43745</v>
      </c>
      <c r="B213" s="2">
        <v>48.290000999999997</v>
      </c>
      <c r="C213" s="2">
        <v>20.197396999999999</v>
      </c>
      <c r="D213" s="2">
        <v>34.478423999999997</v>
      </c>
      <c r="E213" s="2">
        <v>56.874077</v>
      </c>
      <c r="F213" s="8">
        <v>1396.6763920000001</v>
      </c>
      <c r="G213" s="12">
        <f t="shared" si="28"/>
        <v>8.5266190183520465E-3</v>
      </c>
      <c r="H213" s="3">
        <f t="shared" si="29"/>
        <v>-2.6890916436932567E-2</v>
      </c>
      <c r="I213" s="3">
        <f t="shared" si="30"/>
        <v>-2.2612499300868574E-2</v>
      </c>
      <c r="J213" s="3">
        <f t="shared" si="31"/>
        <v>-1.7808648995825391E-2</v>
      </c>
      <c r="K213" s="14">
        <f t="shared" si="32"/>
        <v>1.1995057600969335E-3</v>
      </c>
      <c r="L213" s="9">
        <v>0.4</v>
      </c>
      <c r="M213" s="2">
        <v>0.1</v>
      </c>
      <c r="N213" s="2">
        <v>0.1</v>
      </c>
      <c r="O213" s="2">
        <v>0.4</v>
      </c>
      <c r="P213" s="8">
        <v>0</v>
      </c>
      <c r="Q213" s="12">
        <f t="shared" si="25"/>
        <v>-3.4267033622337276E-4</v>
      </c>
      <c r="R213" s="3">
        <f t="shared" si="26"/>
        <v>2.754945428710375E-4</v>
      </c>
      <c r="S213" s="14">
        <f t="shared" si="27"/>
        <v>1.6598028282631568E-2</v>
      </c>
    </row>
    <row r="214" spans="1:19" x14ac:dyDescent="0.35">
      <c r="A214" s="4">
        <v>43746</v>
      </c>
      <c r="B214" s="2">
        <v>48.009998000000003</v>
      </c>
      <c r="C214" s="2">
        <v>20.036047</v>
      </c>
      <c r="D214" s="2">
        <v>34.222152999999999</v>
      </c>
      <c r="E214" s="2">
        <v>54.653351000000001</v>
      </c>
      <c r="F214" s="8">
        <v>1386.1728519999999</v>
      </c>
      <c r="G214" s="12">
        <f t="shared" si="28"/>
        <v>-5.8152397088110956E-3</v>
      </c>
      <c r="H214" s="3">
        <f t="shared" si="29"/>
        <v>-8.0207334474593339E-3</v>
      </c>
      <c r="I214" s="3">
        <f t="shared" si="30"/>
        <v>-7.4605541862164037E-3</v>
      </c>
      <c r="J214" s="3">
        <f t="shared" si="31"/>
        <v>-3.9829118350453267E-2</v>
      </c>
      <c r="K214" s="14">
        <f t="shared" si="32"/>
        <v>-7.548802653092667E-3</v>
      </c>
      <c r="L214" s="9">
        <v>0.3</v>
      </c>
      <c r="M214" s="2">
        <v>0.2</v>
      </c>
      <c r="N214" s="2">
        <v>0.1</v>
      </c>
      <c r="O214" s="2">
        <v>0.4</v>
      </c>
      <c r="P214" s="8">
        <v>0</v>
      </c>
      <c r="Q214" s="12">
        <f t="shared" si="25"/>
        <v>-2.4241414747395393E-4</v>
      </c>
      <c r="R214" s="3">
        <f t="shared" si="26"/>
        <v>2.1982363902062872E-4</v>
      </c>
      <c r="S214" s="14">
        <f t="shared" si="27"/>
        <v>1.4826450654847528E-2</v>
      </c>
    </row>
    <row r="215" spans="1:19" x14ac:dyDescent="0.35">
      <c r="A215" s="4">
        <v>43747</v>
      </c>
      <c r="B215" s="2">
        <v>47.959999000000003</v>
      </c>
      <c r="C215" s="2">
        <v>19.694362999999999</v>
      </c>
      <c r="D215" s="2">
        <v>34.527706000000002</v>
      </c>
      <c r="E215" s="2">
        <v>54.388041999999999</v>
      </c>
      <c r="F215" s="8">
        <v>1392.321533</v>
      </c>
      <c r="G215" s="12">
        <f t="shared" si="28"/>
        <v>-1.0419715762558515E-3</v>
      </c>
      <c r="H215" s="3">
        <f t="shared" si="29"/>
        <v>-1.7200548604727261E-2</v>
      </c>
      <c r="I215" s="3">
        <f t="shared" si="30"/>
        <v>8.8888913028912636E-3</v>
      </c>
      <c r="J215" s="3">
        <f t="shared" si="31"/>
        <v>-4.8662166952383587E-3</v>
      </c>
      <c r="K215" s="14">
        <f t="shared" si="32"/>
        <v>4.4259157551386607E-3</v>
      </c>
      <c r="L215" s="9">
        <v>0.2</v>
      </c>
      <c r="M215" s="2">
        <v>0.3</v>
      </c>
      <c r="N215" s="2">
        <v>0.1</v>
      </c>
      <c r="O215" s="2">
        <v>0.4</v>
      </c>
      <c r="P215" s="8">
        <v>0</v>
      </c>
      <c r="Q215" s="12">
        <f t="shared" si="25"/>
        <v>-1.4215795872453516E-4</v>
      </c>
      <c r="R215" s="3">
        <f t="shared" si="26"/>
        <v>1.8872071525135036E-4</v>
      </c>
      <c r="S215" s="14">
        <f t="shared" si="27"/>
        <v>1.3737565841565614E-2</v>
      </c>
    </row>
    <row r="216" spans="1:19" x14ac:dyDescent="0.35">
      <c r="A216" s="4">
        <v>43748</v>
      </c>
      <c r="B216" s="2">
        <v>47.59</v>
      </c>
      <c r="C216" s="2">
        <v>19.580465</v>
      </c>
      <c r="D216" s="2">
        <v>34.882542000000001</v>
      </c>
      <c r="E216" s="2">
        <v>54.407699999999998</v>
      </c>
      <c r="F216" s="8">
        <v>1388.9133300000001</v>
      </c>
      <c r="G216" s="12">
        <f t="shared" si="28"/>
        <v>-7.7446541755852904E-3</v>
      </c>
      <c r="H216" s="3">
        <f t="shared" si="29"/>
        <v>-5.800067121937264E-3</v>
      </c>
      <c r="I216" s="3">
        <f t="shared" si="30"/>
        <v>1.0224400614713563E-2</v>
      </c>
      <c r="J216" s="3">
        <f t="shared" si="31"/>
        <v>3.6137444081091601E-4</v>
      </c>
      <c r="K216" s="14">
        <f t="shared" si="32"/>
        <v>-2.4508571723627359E-3</v>
      </c>
      <c r="L216" s="9">
        <v>0.1</v>
      </c>
      <c r="M216" s="2">
        <v>0.4</v>
      </c>
      <c r="N216" s="2">
        <v>0.1</v>
      </c>
      <c r="O216" s="2">
        <v>0.4</v>
      </c>
      <c r="P216" s="8">
        <v>0</v>
      </c>
      <c r="Q216" s="12">
        <f t="shared" si="25"/>
        <v>-4.1901769975116371E-5</v>
      </c>
      <c r="R216" s="3">
        <f t="shared" si="26"/>
        <v>1.8218577156320251E-4</v>
      </c>
      <c r="S216" s="14">
        <f t="shared" si="27"/>
        <v>1.349762095938401E-2</v>
      </c>
    </row>
    <row r="217" spans="1:19" x14ac:dyDescent="0.35">
      <c r="A217" s="4">
        <v>43749</v>
      </c>
      <c r="B217" s="2">
        <v>48.959999000000003</v>
      </c>
      <c r="C217" s="2">
        <v>20.045538000000001</v>
      </c>
      <c r="D217" s="2">
        <v>35.128959999999999</v>
      </c>
      <c r="E217" s="2">
        <v>54.181697999999997</v>
      </c>
      <c r="F217" s="8">
        <v>1394.882568</v>
      </c>
      <c r="G217" s="12">
        <f t="shared" si="28"/>
        <v>2.8380962646214668E-2</v>
      </c>
      <c r="H217" s="3">
        <f t="shared" si="29"/>
        <v>2.3474199801615126E-2</v>
      </c>
      <c r="I217" s="3">
        <f t="shared" si="30"/>
        <v>7.0393866870914305E-3</v>
      </c>
      <c r="J217" s="3">
        <f t="shared" si="31"/>
        <v>-4.1625118194067445E-3</v>
      </c>
      <c r="K217" s="14">
        <f t="shared" si="32"/>
        <v>4.2885666675781323E-3</v>
      </c>
      <c r="L217" s="9">
        <v>0</v>
      </c>
      <c r="M217" s="2">
        <v>0.5</v>
      </c>
      <c r="N217" s="2">
        <v>0.1</v>
      </c>
      <c r="O217" s="2">
        <v>0.4</v>
      </c>
      <c r="P217" s="8">
        <v>0</v>
      </c>
      <c r="Q217" s="12">
        <f t="shared" si="25"/>
        <v>5.8354418774302437E-5</v>
      </c>
      <c r="R217" s="3">
        <f t="shared" si="26"/>
        <v>2.0021880795618516E-4</v>
      </c>
      <c r="S217" s="14">
        <f t="shared" si="27"/>
        <v>1.4149869538486395E-2</v>
      </c>
    </row>
    <row r="218" spans="1:19" x14ac:dyDescent="0.35">
      <c r="A218" s="4">
        <v>43752</v>
      </c>
      <c r="B218" s="2">
        <v>48.98</v>
      </c>
      <c r="C218" s="2">
        <v>19.855715</v>
      </c>
      <c r="D218" s="2">
        <v>34.330573999999999</v>
      </c>
      <c r="E218" s="2">
        <v>54.899006</v>
      </c>
      <c r="F218" s="8">
        <v>1391.295044</v>
      </c>
      <c r="G218" s="12">
        <f t="shared" si="28"/>
        <v>4.0843374478760917E-4</v>
      </c>
      <c r="H218" s="3">
        <f t="shared" si="29"/>
        <v>-9.5147103300061101E-3</v>
      </c>
      <c r="I218" s="3">
        <f t="shared" si="30"/>
        <v>-2.2989534113001146E-2</v>
      </c>
      <c r="J218" s="3">
        <f t="shared" si="31"/>
        <v>1.3152066561231834E-2</v>
      </c>
      <c r="K218" s="14">
        <f t="shared" si="32"/>
        <v>-2.5752313615603475E-3</v>
      </c>
      <c r="L218" s="9">
        <v>0.4</v>
      </c>
      <c r="M218" s="2">
        <v>0</v>
      </c>
      <c r="N218" s="2">
        <v>0.2</v>
      </c>
      <c r="O218" s="2">
        <v>0.4</v>
      </c>
      <c r="P218" s="8">
        <v>0</v>
      </c>
      <c r="Q218" s="12">
        <f t="shared" si="25"/>
        <v>-2.9817660304080321E-4</v>
      </c>
      <c r="R218" s="3">
        <f t="shared" si="26"/>
        <v>2.7821274454641038E-4</v>
      </c>
      <c r="S218" s="14">
        <f t="shared" si="27"/>
        <v>1.66797105654268E-2</v>
      </c>
    </row>
    <row r="219" spans="1:19" x14ac:dyDescent="0.35">
      <c r="A219" s="4">
        <v>43753</v>
      </c>
      <c r="B219" s="2">
        <v>49.23</v>
      </c>
      <c r="C219" s="2">
        <v>19.504536000000002</v>
      </c>
      <c r="D219" s="2">
        <v>34.714981000000002</v>
      </c>
      <c r="E219" s="2">
        <v>55.007098999999997</v>
      </c>
      <c r="F219" s="8">
        <v>1395.3907469999999</v>
      </c>
      <c r="G219" s="12">
        <f t="shared" si="28"/>
        <v>5.0911422460875235E-3</v>
      </c>
      <c r="H219" s="3">
        <f t="shared" si="29"/>
        <v>-1.7844821111610915E-2</v>
      </c>
      <c r="I219" s="3">
        <f t="shared" si="30"/>
        <v>1.1134995491514256E-2</v>
      </c>
      <c r="J219" s="3">
        <f t="shared" si="31"/>
        <v>1.9670069256304224E-3</v>
      </c>
      <c r="K219" s="14">
        <f t="shared" si="32"/>
        <v>2.939481704268171E-3</v>
      </c>
      <c r="L219" s="9">
        <v>0.3</v>
      </c>
      <c r="M219" s="2">
        <v>0.1</v>
      </c>
      <c r="N219" s="2">
        <v>0.2</v>
      </c>
      <c r="O219" s="2">
        <v>0.4</v>
      </c>
      <c r="P219" s="8">
        <v>0</v>
      </c>
      <c r="Q219" s="12">
        <f t="shared" si="25"/>
        <v>-1.9792041429138432E-4</v>
      </c>
      <c r="R219" s="3">
        <f t="shared" si="26"/>
        <v>2.1824814873881062E-4</v>
      </c>
      <c r="S219" s="14">
        <f t="shared" si="27"/>
        <v>1.477322404686298E-2</v>
      </c>
    </row>
    <row r="220" spans="1:19" x14ac:dyDescent="0.35">
      <c r="A220" s="4">
        <v>43754</v>
      </c>
      <c r="B220" s="2">
        <v>49.259998000000003</v>
      </c>
      <c r="C220" s="2">
        <v>19.039463000000001</v>
      </c>
      <c r="D220" s="2">
        <v>34.419280999999998</v>
      </c>
      <c r="E220" s="2">
        <v>55.586844999999997</v>
      </c>
      <c r="F220" s="8">
        <v>1388.2258300000001</v>
      </c>
      <c r="G220" s="12">
        <f t="shared" si="28"/>
        <v>6.0915832138864166E-4</v>
      </c>
      <c r="H220" s="3">
        <f t="shared" si="29"/>
        <v>-2.4133228719580329E-2</v>
      </c>
      <c r="I220" s="3">
        <f t="shared" si="30"/>
        <v>-8.5544213440438034E-3</v>
      </c>
      <c r="J220" s="3">
        <f t="shared" si="31"/>
        <v>1.0484322912170354E-2</v>
      </c>
      <c r="K220" s="14">
        <f t="shared" si="32"/>
        <v>-5.1479308482574437E-3</v>
      </c>
      <c r="L220" s="9">
        <v>0.2</v>
      </c>
      <c r="M220" s="2">
        <v>0.2</v>
      </c>
      <c r="N220" s="2">
        <v>0.2</v>
      </c>
      <c r="O220" s="2">
        <v>0.4</v>
      </c>
      <c r="P220" s="8">
        <v>0</v>
      </c>
      <c r="Q220" s="12">
        <f t="shared" si="25"/>
        <v>-9.7664225541965616E-5</v>
      </c>
      <c r="R220" s="3">
        <f t="shared" si="26"/>
        <v>1.8285153301234145E-4</v>
      </c>
      <c r="S220" s="14">
        <f t="shared" si="27"/>
        <v>1.3522260647256487E-2</v>
      </c>
    </row>
    <row r="221" spans="1:19" x14ac:dyDescent="0.35">
      <c r="A221" s="4">
        <v>43755</v>
      </c>
      <c r="B221" s="2">
        <v>48.009998000000003</v>
      </c>
      <c r="C221" s="2">
        <v>19.808257999999999</v>
      </c>
      <c r="D221" s="2">
        <v>34.576991999999997</v>
      </c>
      <c r="E221" s="2">
        <v>55.920932999999998</v>
      </c>
      <c r="F221" s="8">
        <v>1381.5390629999999</v>
      </c>
      <c r="G221" s="12">
        <f t="shared" si="28"/>
        <v>-2.5703071206637666E-2</v>
      </c>
      <c r="H221" s="3">
        <f t="shared" si="29"/>
        <v>3.9585096273775579E-2</v>
      </c>
      <c r="I221" s="3">
        <f t="shared" si="30"/>
        <v>4.5715882268672365E-3</v>
      </c>
      <c r="J221" s="3">
        <f t="shared" si="31"/>
        <v>5.992209792979329E-3</v>
      </c>
      <c r="K221" s="14">
        <f t="shared" si="32"/>
        <v>-4.8284098104591508E-3</v>
      </c>
      <c r="L221" s="9">
        <v>0.1</v>
      </c>
      <c r="M221" s="2">
        <v>0.3</v>
      </c>
      <c r="N221" s="2">
        <v>0.2</v>
      </c>
      <c r="O221" s="2">
        <v>0.4</v>
      </c>
      <c r="P221" s="8">
        <v>0</v>
      </c>
      <c r="Q221" s="12">
        <f t="shared" si="25"/>
        <v>2.5919632074532261E-6</v>
      </c>
      <c r="R221" s="3">
        <f t="shared" si="26"/>
        <v>1.7202289736700267E-4</v>
      </c>
      <c r="S221" s="14">
        <f t="shared" si="27"/>
        <v>1.3115749973486178E-2</v>
      </c>
    </row>
    <row r="222" spans="1:19" x14ac:dyDescent="0.35">
      <c r="A222" s="4">
        <v>43756</v>
      </c>
      <c r="B222" s="2">
        <v>47.77</v>
      </c>
      <c r="C222" s="2">
        <v>19.409624000000001</v>
      </c>
      <c r="D222" s="2">
        <v>33.571617000000003</v>
      </c>
      <c r="E222" s="2">
        <v>55.577019</v>
      </c>
      <c r="F222" s="8">
        <v>1380.482788</v>
      </c>
      <c r="G222" s="12">
        <f t="shared" si="28"/>
        <v>-5.0114534829896768E-3</v>
      </c>
      <c r="H222" s="3">
        <f t="shared" si="29"/>
        <v>-2.0329895922469629E-2</v>
      </c>
      <c r="I222" s="3">
        <f t="shared" si="30"/>
        <v>-2.950751193501747E-2</v>
      </c>
      <c r="J222" s="3">
        <f t="shared" si="31"/>
        <v>-6.1689938606073746E-3</v>
      </c>
      <c r="K222" s="14">
        <f t="shared" si="32"/>
        <v>-7.6485640481905551E-4</v>
      </c>
      <c r="L222" s="9">
        <v>0</v>
      </c>
      <c r="M222" s="2">
        <v>0.4</v>
      </c>
      <c r="N222" s="2">
        <v>0.2</v>
      </c>
      <c r="O222" s="2">
        <v>0.4</v>
      </c>
      <c r="P222" s="8">
        <v>0</v>
      </c>
      <c r="Q222" s="12">
        <f t="shared" si="25"/>
        <v>1.0284815195687205E-4</v>
      </c>
      <c r="R222" s="3">
        <f t="shared" si="26"/>
        <v>1.8576224180279449E-4</v>
      </c>
      <c r="S222" s="14">
        <f t="shared" si="27"/>
        <v>1.3629462271226788E-2</v>
      </c>
    </row>
    <row r="223" spans="1:19" x14ac:dyDescent="0.35">
      <c r="A223" s="4">
        <v>43759</v>
      </c>
      <c r="B223" s="2">
        <v>48.709999000000003</v>
      </c>
      <c r="C223" s="2">
        <v>19.409624000000001</v>
      </c>
      <c r="D223" s="2">
        <v>33.719462999999998</v>
      </c>
      <c r="E223" s="2">
        <v>55.724411000000003</v>
      </c>
      <c r="F223" s="8">
        <v>1382.067139</v>
      </c>
      <c r="G223" s="12">
        <f t="shared" si="28"/>
        <v>1.948649988691525E-2</v>
      </c>
      <c r="H223" s="3">
        <f t="shared" si="29"/>
        <v>0</v>
      </c>
      <c r="I223" s="3">
        <f t="shared" si="30"/>
        <v>4.3942299008906012E-3</v>
      </c>
      <c r="J223" s="3">
        <f t="shared" si="31"/>
        <v>2.6485209787290437E-3</v>
      </c>
      <c r="K223" s="14">
        <f t="shared" si="32"/>
        <v>1.1470208434753316E-3</v>
      </c>
      <c r="L223" s="9">
        <v>0.3</v>
      </c>
      <c r="M223" s="2">
        <v>0</v>
      </c>
      <c r="N223" s="2">
        <v>0.3</v>
      </c>
      <c r="O223" s="2">
        <v>0.4</v>
      </c>
      <c r="P223" s="8">
        <v>0</v>
      </c>
      <c r="Q223" s="12">
        <f t="shared" si="25"/>
        <v>-1.5342668110881471E-4</v>
      </c>
      <c r="R223" s="3">
        <f t="shared" si="26"/>
        <v>2.3087119242693339E-4</v>
      </c>
      <c r="S223" s="14">
        <f t="shared" si="27"/>
        <v>1.5194446104644072E-2</v>
      </c>
    </row>
    <row r="224" spans="1:19" x14ac:dyDescent="0.35">
      <c r="A224" s="4">
        <v>43760</v>
      </c>
      <c r="B224" s="2">
        <v>49.18</v>
      </c>
      <c r="C224" s="2">
        <v>19.153359999999999</v>
      </c>
      <c r="D224" s="2">
        <v>33.275913000000003</v>
      </c>
      <c r="E224" s="2">
        <v>55.685104000000003</v>
      </c>
      <c r="F224" s="8">
        <v>1388.714111</v>
      </c>
      <c r="G224" s="12">
        <f t="shared" si="28"/>
        <v>9.6027094992608072E-3</v>
      </c>
      <c r="H224" s="3">
        <f t="shared" si="29"/>
        <v>-1.3290868380328445E-2</v>
      </c>
      <c r="I224" s="3">
        <f t="shared" si="30"/>
        <v>-1.3241405818653518E-2</v>
      </c>
      <c r="J224" s="3">
        <f t="shared" si="31"/>
        <v>-7.0563096214826726E-4</v>
      </c>
      <c r="K224" s="14">
        <f t="shared" si="32"/>
        <v>4.7979137660831127E-3</v>
      </c>
      <c r="L224" s="9">
        <v>0.2</v>
      </c>
      <c r="M224" s="2">
        <v>0.1</v>
      </c>
      <c r="N224" s="2">
        <v>0.3</v>
      </c>
      <c r="O224" s="2">
        <v>0.4</v>
      </c>
      <c r="P224" s="8">
        <v>0</v>
      </c>
      <c r="Q224" s="12">
        <f t="shared" si="25"/>
        <v>-5.3170492359395951E-5</v>
      </c>
      <c r="R224" s="3">
        <f t="shared" si="26"/>
        <v>1.9118088474327327E-4</v>
      </c>
      <c r="S224" s="14">
        <f t="shared" si="27"/>
        <v>1.3826817592753339E-2</v>
      </c>
    </row>
    <row r="225" spans="1:19" x14ac:dyDescent="0.35">
      <c r="A225" s="4">
        <v>43761</v>
      </c>
      <c r="B225" s="2">
        <v>47.259998000000003</v>
      </c>
      <c r="C225" s="2">
        <v>19.143867</v>
      </c>
      <c r="D225" s="2">
        <v>33.128067000000001</v>
      </c>
      <c r="E225" s="2">
        <v>56.137115000000001</v>
      </c>
      <c r="F225" s="8">
        <v>1383.2729489999999</v>
      </c>
      <c r="G225" s="12">
        <f t="shared" si="28"/>
        <v>-3.9822807348371458E-2</v>
      </c>
      <c r="H225" s="3">
        <f t="shared" si="29"/>
        <v>-4.9575391943780967E-4</v>
      </c>
      <c r="I225" s="3">
        <f t="shared" si="30"/>
        <v>-4.4529332217244791E-3</v>
      </c>
      <c r="J225" s="3">
        <f t="shared" si="31"/>
        <v>8.0845017378743372E-3</v>
      </c>
      <c r="K225" s="14">
        <f t="shared" si="32"/>
        <v>-3.9258256770596713E-3</v>
      </c>
      <c r="L225" s="9">
        <v>0.1</v>
      </c>
      <c r="M225" s="2">
        <v>0.2</v>
      </c>
      <c r="N225" s="2">
        <v>0.3</v>
      </c>
      <c r="O225" s="2">
        <v>0.4</v>
      </c>
      <c r="P225" s="8">
        <v>0</v>
      </c>
      <c r="Q225" s="12">
        <f t="shared" si="25"/>
        <v>4.7085696390022864E-5</v>
      </c>
      <c r="R225" s="3">
        <f t="shared" si="26"/>
        <v>1.7605855714074368E-4</v>
      </c>
      <c r="S225" s="14">
        <f t="shared" si="27"/>
        <v>1.3268705933162574E-2</v>
      </c>
    </row>
    <row r="226" spans="1:19" x14ac:dyDescent="0.35">
      <c r="A226" s="4">
        <v>43762</v>
      </c>
      <c r="B226" s="2">
        <v>49.759998000000003</v>
      </c>
      <c r="C226" s="2">
        <v>19.086919999999999</v>
      </c>
      <c r="D226" s="2">
        <v>33.433619999999998</v>
      </c>
      <c r="E226" s="2">
        <v>57.679825000000001</v>
      </c>
      <c r="F226" s="8">
        <v>1383.322876</v>
      </c>
      <c r="G226" s="12">
        <f t="shared" si="28"/>
        <v>5.1547178798322275E-2</v>
      </c>
      <c r="H226" s="3">
        <f t="shared" si="29"/>
        <v>-2.9791195309567618E-3</v>
      </c>
      <c r="I226" s="3">
        <f t="shared" si="30"/>
        <v>9.1811118406252522E-3</v>
      </c>
      <c r="J226" s="3">
        <f t="shared" si="31"/>
        <v>2.711027876193544E-2</v>
      </c>
      <c r="K226" s="14">
        <f t="shared" si="32"/>
        <v>3.6092731402544411E-5</v>
      </c>
      <c r="L226" s="9">
        <v>0</v>
      </c>
      <c r="M226" s="2">
        <v>0.3</v>
      </c>
      <c r="N226" s="2">
        <v>0.3</v>
      </c>
      <c r="O226" s="2">
        <v>0.4</v>
      </c>
      <c r="P226" s="8">
        <v>0</v>
      </c>
      <c r="Q226" s="12">
        <f t="shared" si="25"/>
        <v>1.4734188513944167E-4</v>
      </c>
      <c r="R226" s="3">
        <f t="shared" si="26"/>
        <v>1.8550420961934452E-4</v>
      </c>
      <c r="S226" s="14">
        <f t="shared" si="27"/>
        <v>1.3619993010987359E-2</v>
      </c>
    </row>
    <row r="227" spans="1:19" x14ac:dyDescent="0.35">
      <c r="A227" s="4">
        <v>43763</v>
      </c>
      <c r="B227" s="2">
        <v>49.27</v>
      </c>
      <c r="C227" s="2">
        <v>18.593374000000001</v>
      </c>
      <c r="D227" s="2">
        <v>35.375374000000001</v>
      </c>
      <c r="E227" s="2">
        <v>57.276950999999997</v>
      </c>
      <c r="F227" s="8">
        <v>1383.0238039999999</v>
      </c>
      <c r="G227" s="12">
        <f t="shared" si="28"/>
        <v>-9.8960316821254113E-3</v>
      </c>
      <c r="H227" s="3">
        <f t="shared" si="29"/>
        <v>-2.6198003011856038E-2</v>
      </c>
      <c r="I227" s="3">
        <f t="shared" si="30"/>
        <v>5.6453947805486814E-2</v>
      </c>
      <c r="J227" s="3">
        <f t="shared" si="31"/>
        <v>-7.0091675044752248E-3</v>
      </c>
      <c r="K227" s="14">
        <f t="shared" si="32"/>
        <v>-2.1622163507375913E-4</v>
      </c>
      <c r="L227" s="9">
        <v>0.2</v>
      </c>
      <c r="M227" s="2">
        <v>0</v>
      </c>
      <c r="N227" s="2">
        <v>0.4</v>
      </c>
      <c r="O227" s="2">
        <v>0.4</v>
      </c>
      <c r="P227" s="8">
        <v>0</v>
      </c>
      <c r="Q227" s="12">
        <f t="shared" si="25"/>
        <v>-8.6767591768263397E-6</v>
      </c>
      <c r="R227" s="3">
        <f t="shared" si="26"/>
        <v>2.1370877044414599E-4</v>
      </c>
      <c r="S227" s="14">
        <f t="shared" si="27"/>
        <v>1.4618781428154195E-2</v>
      </c>
    </row>
    <row r="228" spans="1:19" x14ac:dyDescent="0.35">
      <c r="A228" s="4">
        <v>43766</v>
      </c>
      <c r="B228" s="2">
        <v>49.700001</v>
      </c>
      <c r="C228" s="2">
        <v>18.992006</v>
      </c>
      <c r="D228" s="2">
        <v>35.533081000000003</v>
      </c>
      <c r="E228" s="2">
        <v>57.424339000000003</v>
      </c>
      <c r="F228" s="8">
        <v>1394.613525</v>
      </c>
      <c r="G228" s="12">
        <f t="shared" si="28"/>
        <v>8.6895766674354637E-3</v>
      </c>
      <c r="H228" s="3">
        <f t="shared" si="29"/>
        <v>2.1212873097056478E-2</v>
      </c>
      <c r="I228" s="3">
        <f t="shared" si="30"/>
        <v>4.4481933794229276E-3</v>
      </c>
      <c r="J228" s="3">
        <f t="shared" si="31"/>
        <v>2.56994635579406E-3</v>
      </c>
      <c r="K228" s="14">
        <f t="shared" si="32"/>
        <v>8.3450694862939566E-3</v>
      </c>
      <c r="L228" s="9">
        <v>0.1</v>
      </c>
      <c r="M228" s="2">
        <v>0.1</v>
      </c>
      <c r="N228" s="2">
        <v>0.4</v>
      </c>
      <c r="O228" s="2">
        <v>0.4</v>
      </c>
      <c r="P228" s="8">
        <v>0</v>
      </c>
      <c r="Q228" s="12">
        <f t="shared" si="25"/>
        <v>9.1579429572592462E-5</v>
      </c>
      <c r="R228" s="3">
        <f t="shared" si="26"/>
        <v>1.9429275088442554E-4</v>
      </c>
      <c r="S228" s="14">
        <f t="shared" si="27"/>
        <v>1.3938893459827632E-2</v>
      </c>
    </row>
    <row r="229" spans="1:19" x14ac:dyDescent="0.35">
      <c r="A229" s="4">
        <v>43767</v>
      </c>
      <c r="B229" s="2">
        <v>49.759998000000003</v>
      </c>
      <c r="C229" s="2">
        <v>19.105902</v>
      </c>
      <c r="D229" s="2">
        <v>36.420177000000002</v>
      </c>
      <c r="E229" s="2">
        <v>57.611041999999998</v>
      </c>
      <c r="F229" s="8">
        <v>1394.4938959999999</v>
      </c>
      <c r="G229" s="12">
        <f t="shared" si="28"/>
        <v>1.2064550146899341E-3</v>
      </c>
      <c r="H229" s="3">
        <f t="shared" si="29"/>
        <v>5.9791387661452984E-3</v>
      </c>
      <c r="I229" s="3">
        <f t="shared" si="30"/>
        <v>2.465881252960412E-2</v>
      </c>
      <c r="J229" s="3">
        <f t="shared" si="31"/>
        <v>3.2460128755434966E-3</v>
      </c>
      <c r="K229" s="14">
        <f t="shared" si="32"/>
        <v>-8.5782999372947528E-5</v>
      </c>
      <c r="L229" s="9">
        <v>0</v>
      </c>
      <c r="M229" s="2">
        <v>0.2</v>
      </c>
      <c r="N229" s="2">
        <v>0.4</v>
      </c>
      <c r="O229" s="2">
        <v>0.4</v>
      </c>
      <c r="P229" s="8">
        <v>0</v>
      </c>
      <c r="Q229" s="12">
        <f t="shared" si="25"/>
        <v>1.9183561832201128E-4</v>
      </c>
      <c r="R229" s="3">
        <f t="shared" si="26"/>
        <v>1.9944471140583548E-4</v>
      </c>
      <c r="S229" s="14">
        <f t="shared" si="27"/>
        <v>1.4122489561186989E-2</v>
      </c>
    </row>
    <row r="230" spans="1:19" x14ac:dyDescent="0.35">
      <c r="A230" s="4">
        <v>43768</v>
      </c>
      <c r="B230" s="2">
        <v>50.470001000000003</v>
      </c>
      <c r="C230" s="2">
        <v>18.375076</v>
      </c>
      <c r="D230" s="2">
        <v>36.430031</v>
      </c>
      <c r="E230" s="2">
        <v>57.561912999999997</v>
      </c>
      <c r="F230" s="8">
        <v>1389.2919919999999</v>
      </c>
      <c r="G230" s="12">
        <f t="shared" si="28"/>
        <v>1.4167711927924462E-2</v>
      </c>
      <c r="H230" s="3">
        <f t="shared" si="29"/>
        <v>-3.9002111411132558E-2</v>
      </c>
      <c r="I230" s="3">
        <f t="shared" si="30"/>
        <v>2.7052771242867102E-4</v>
      </c>
      <c r="J230" s="3">
        <f t="shared" si="31"/>
        <v>-8.5313436613360322E-4</v>
      </c>
      <c r="K230" s="14">
        <f t="shared" si="32"/>
        <v>-3.7372917774723818E-3</v>
      </c>
      <c r="L230" s="9">
        <v>0.1</v>
      </c>
      <c r="M230" s="2">
        <v>0</v>
      </c>
      <c r="N230" s="2">
        <v>0.5</v>
      </c>
      <c r="O230" s="2">
        <v>0.4</v>
      </c>
      <c r="P230" s="8">
        <v>0</v>
      </c>
      <c r="Q230" s="12">
        <f t="shared" si="25"/>
        <v>1.3607316275516209E-4</v>
      </c>
      <c r="R230" s="3">
        <f t="shared" si="26"/>
        <v>2.2672547859804807E-4</v>
      </c>
      <c r="S230" s="14">
        <f t="shared" si="27"/>
        <v>1.5057406104573526E-2</v>
      </c>
    </row>
    <row r="231" spans="1:19" x14ac:dyDescent="0.35">
      <c r="A231" s="4">
        <v>43769</v>
      </c>
      <c r="B231" s="2">
        <v>51.32</v>
      </c>
      <c r="C231" s="2">
        <v>17.872039999999998</v>
      </c>
      <c r="D231" s="2">
        <v>35.227528</v>
      </c>
      <c r="E231" s="2">
        <v>56.726685000000003</v>
      </c>
      <c r="F231" s="8">
        <v>1393.208496</v>
      </c>
      <c r="G231" s="12">
        <f t="shared" si="28"/>
        <v>1.6701419581514075E-2</v>
      </c>
      <c r="H231" s="3">
        <f t="shared" si="29"/>
        <v>-2.7757700682559193E-2</v>
      </c>
      <c r="I231" s="3">
        <f t="shared" si="30"/>
        <v>-3.3565639546743388E-2</v>
      </c>
      <c r="J231" s="3">
        <f t="shared" si="31"/>
        <v>-1.4616381411774499E-2</v>
      </c>
      <c r="K231" s="14">
        <f t="shared" si="32"/>
        <v>2.8150985801029668E-3</v>
      </c>
      <c r="L231" s="9">
        <v>0</v>
      </c>
      <c r="M231" s="2">
        <v>0.1</v>
      </c>
      <c r="N231" s="2">
        <v>0.5</v>
      </c>
      <c r="O231" s="2">
        <v>0.4</v>
      </c>
      <c r="P231" s="8">
        <v>0</v>
      </c>
      <c r="Q231" s="12">
        <f t="shared" si="25"/>
        <v>2.3632935150458089E-4</v>
      </c>
      <c r="R231" s="3">
        <f t="shared" si="26"/>
        <v>2.2758374716226718E-4</v>
      </c>
      <c r="S231" s="14">
        <f t="shared" si="27"/>
        <v>1.5085879064949022E-2</v>
      </c>
    </row>
    <row r="232" spans="1:19" x14ac:dyDescent="0.35">
      <c r="A232" s="4">
        <v>43770</v>
      </c>
      <c r="B232" s="2">
        <v>52.310001</v>
      </c>
      <c r="C232" s="2">
        <v>17.919495000000001</v>
      </c>
      <c r="D232" s="2">
        <v>35.887917000000002</v>
      </c>
      <c r="E232" s="2">
        <v>58.013919999999999</v>
      </c>
      <c r="F232" s="8">
        <v>1394.7430420000001</v>
      </c>
      <c r="G232" s="12">
        <f t="shared" si="28"/>
        <v>1.910703675188756E-2</v>
      </c>
      <c r="H232" s="3">
        <f t="shared" si="29"/>
        <v>2.6517458839172259E-3</v>
      </c>
      <c r="I232" s="3">
        <f t="shared" si="30"/>
        <v>1.8572842604009397E-2</v>
      </c>
      <c r="J232" s="3">
        <f t="shared" si="31"/>
        <v>2.2438246810563566E-2</v>
      </c>
      <c r="K232" s="14">
        <f t="shared" si="32"/>
        <v>1.1008413410736923E-3</v>
      </c>
      <c r="L232" s="9">
        <v>0</v>
      </c>
      <c r="M232" s="2">
        <v>0</v>
      </c>
      <c r="N232" s="2">
        <v>0.6</v>
      </c>
      <c r="O232" s="2">
        <v>0.4</v>
      </c>
      <c r="P232" s="8">
        <v>0</v>
      </c>
      <c r="Q232" s="12">
        <f t="shared" si="25"/>
        <v>2.808230846871505E-4</v>
      </c>
      <c r="R232" s="3">
        <f t="shared" si="26"/>
        <v>2.6992131688863974E-4</v>
      </c>
      <c r="S232" s="14">
        <f t="shared" si="27"/>
        <v>1.6429282299864463E-2</v>
      </c>
    </row>
    <row r="233" spans="1:19" x14ac:dyDescent="0.35">
      <c r="A233" s="4">
        <v>43773</v>
      </c>
      <c r="B233" s="2">
        <v>51.790000999999997</v>
      </c>
      <c r="C233" s="2">
        <v>17.853055999999999</v>
      </c>
      <c r="D233" s="2">
        <v>36.016055999999999</v>
      </c>
      <c r="E233" s="2">
        <v>56.392592999999998</v>
      </c>
      <c r="F233" s="8">
        <v>1397.174561</v>
      </c>
      <c r="G233" s="12">
        <f t="shared" si="28"/>
        <v>-9.990476754776486E-3</v>
      </c>
      <c r="H233" s="3">
        <f t="shared" si="29"/>
        <v>-3.7145282925007618E-3</v>
      </c>
      <c r="I233" s="3">
        <f t="shared" si="30"/>
        <v>3.5641740032743745E-3</v>
      </c>
      <c r="J233" s="3">
        <f t="shared" si="31"/>
        <v>-2.8345161658758958E-2</v>
      </c>
      <c r="K233" s="14">
        <f t="shared" si="32"/>
        <v>1.7418276328419872E-3</v>
      </c>
      <c r="L233" s="9">
        <v>0.5</v>
      </c>
      <c r="M233" s="2">
        <v>0</v>
      </c>
      <c r="N233" s="2">
        <v>0</v>
      </c>
      <c r="O233" s="2">
        <v>0.5</v>
      </c>
      <c r="P233" s="8">
        <v>0</v>
      </c>
      <c r="Q233" s="12">
        <f t="shared" si="25"/>
        <v>-4.4512465304084886E-4</v>
      </c>
      <c r="R233" s="3">
        <f t="shared" si="26"/>
        <v>3.7038142282190653E-4</v>
      </c>
      <c r="S233" s="14">
        <f t="shared" si="27"/>
        <v>1.9245296121959427E-2</v>
      </c>
    </row>
    <row r="234" spans="1:19" x14ac:dyDescent="0.35">
      <c r="A234" s="4">
        <v>43774</v>
      </c>
      <c r="B234" s="2">
        <v>51.77</v>
      </c>
      <c r="C234" s="2">
        <v>18.365584999999999</v>
      </c>
      <c r="D234" s="2">
        <v>36.361033999999997</v>
      </c>
      <c r="E234" s="2">
        <v>55.459102999999999</v>
      </c>
      <c r="F234" s="8">
        <v>1392.5904539999999</v>
      </c>
      <c r="G234" s="12">
        <f t="shared" si="28"/>
        <v>-3.862688307366399E-4</v>
      </c>
      <c r="H234" s="3">
        <f t="shared" si="29"/>
        <v>2.8303834780916758E-2</v>
      </c>
      <c r="I234" s="3">
        <f t="shared" si="30"/>
        <v>9.532867721042209E-3</v>
      </c>
      <c r="J234" s="3">
        <f t="shared" si="31"/>
        <v>-1.6691953854401764E-2</v>
      </c>
      <c r="K234" s="14">
        <f t="shared" si="32"/>
        <v>-3.2863779573940994E-3</v>
      </c>
      <c r="L234" s="9">
        <v>0.4</v>
      </c>
      <c r="M234" s="2">
        <v>0.1</v>
      </c>
      <c r="N234" s="2">
        <v>0</v>
      </c>
      <c r="O234" s="2">
        <v>0.5</v>
      </c>
      <c r="P234" s="8">
        <v>0</v>
      </c>
      <c r="Q234" s="12">
        <f t="shared" si="25"/>
        <v>-3.4486846429143003E-4</v>
      </c>
      <c r="R234" s="3">
        <f t="shared" si="26"/>
        <v>2.8880404478392037E-4</v>
      </c>
      <c r="S234" s="14">
        <f t="shared" si="27"/>
        <v>1.6994235634000147E-2</v>
      </c>
    </row>
    <row r="235" spans="1:19" x14ac:dyDescent="0.35">
      <c r="A235" s="4">
        <v>43775</v>
      </c>
      <c r="B235" s="2">
        <v>52.529998999999997</v>
      </c>
      <c r="C235" s="2">
        <v>18.099829</v>
      </c>
      <c r="D235" s="2">
        <v>35.67107</v>
      </c>
      <c r="E235" s="2">
        <v>56.461371999999997</v>
      </c>
      <c r="F235" s="8">
        <v>1396.3474120000001</v>
      </c>
      <c r="G235" s="12">
        <f t="shared" si="28"/>
        <v>1.4573585015318901E-2</v>
      </c>
      <c r="H235" s="3">
        <f t="shared" si="29"/>
        <v>-1.4576042121202962E-2</v>
      </c>
      <c r="I235" s="3">
        <f t="shared" si="30"/>
        <v>-1.9157710631297554E-2</v>
      </c>
      <c r="J235" s="3">
        <f t="shared" si="31"/>
        <v>1.791085668188416E-2</v>
      </c>
      <c r="K235" s="14">
        <f t="shared" si="32"/>
        <v>2.6941871443866014E-3</v>
      </c>
      <c r="L235" s="9">
        <v>0.3</v>
      </c>
      <c r="M235" s="2">
        <v>0.2</v>
      </c>
      <c r="N235" s="2">
        <v>0</v>
      </c>
      <c r="O235" s="2">
        <v>0.5</v>
      </c>
      <c r="P235" s="8">
        <v>0</v>
      </c>
      <c r="Q235" s="12">
        <f t="shared" si="25"/>
        <v>-2.446122755420112E-4</v>
      </c>
      <c r="R235" s="3">
        <f t="shared" si="26"/>
        <v>2.3179464682706458E-4</v>
      </c>
      <c r="S235" s="14">
        <f t="shared" si="27"/>
        <v>1.522480367121575E-2</v>
      </c>
    </row>
    <row r="236" spans="1:19" x14ac:dyDescent="0.35">
      <c r="A236" s="4">
        <v>43776</v>
      </c>
      <c r="B236" s="2">
        <v>52.91</v>
      </c>
      <c r="C236" s="2">
        <v>17.995425999999998</v>
      </c>
      <c r="D236" s="2">
        <v>36.193474000000002</v>
      </c>
      <c r="E236" s="2">
        <v>55.586844999999997</v>
      </c>
      <c r="F236" s="8">
        <v>1390.1191409999999</v>
      </c>
      <c r="G236" s="12">
        <f t="shared" si="28"/>
        <v>7.2079409869113178E-3</v>
      </c>
      <c r="H236" s="3">
        <f t="shared" si="29"/>
        <v>-5.7848762199852752E-3</v>
      </c>
      <c r="I236" s="3">
        <f t="shared" si="30"/>
        <v>1.4538830219499508E-2</v>
      </c>
      <c r="J236" s="3">
        <f t="shared" si="31"/>
        <v>-1.5610150377003765E-2</v>
      </c>
      <c r="K236" s="14">
        <f t="shared" si="32"/>
        <v>-4.4703794241420678E-3</v>
      </c>
      <c r="L236" s="9">
        <v>0.2</v>
      </c>
      <c r="M236" s="2">
        <v>0.3</v>
      </c>
      <c r="N236" s="2">
        <v>0</v>
      </c>
      <c r="O236" s="2">
        <v>0.5</v>
      </c>
      <c r="P236" s="8">
        <v>0</v>
      </c>
      <c r="Q236" s="12">
        <f t="shared" si="25"/>
        <v>-1.4435608679259243E-4</v>
      </c>
      <c r="R236" s="3">
        <f t="shared" si="26"/>
        <v>1.9935322895133929E-4</v>
      </c>
      <c r="S236" s="14">
        <f t="shared" si="27"/>
        <v>1.4119250297070993E-2</v>
      </c>
    </row>
    <row r="237" spans="1:19" x14ac:dyDescent="0.35">
      <c r="A237" s="4">
        <v>43777</v>
      </c>
      <c r="B237" s="2">
        <v>52.75</v>
      </c>
      <c r="C237" s="2">
        <v>17.900513</v>
      </c>
      <c r="D237" s="2">
        <v>35.355659000000003</v>
      </c>
      <c r="E237" s="2">
        <v>55.213448</v>
      </c>
      <c r="F237" s="8">
        <v>1389.0229489999999</v>
      </c>
      <c r="G237" s="12">
        <f t="shared" si="28"/>
        <v>-3.0285845598644191E-3</v>
      </c>
      <c r="H237" s="3">
        <f t="shared" si="29"/>
        <v>-5.2882428394356107E-3</v>
      </c>
      <c r="I237" s="3">
        <f t="shared" si="30"/>
        <v>-2.3420361940919909E-2</v>
      </c>
      <c r="J237" s="3">
        <f t="shared" si="31"/>
        <v>-6.7400257426007545E-3</v>
      </c>
      <c r="K237" s="14">
        <f t="shared" si="32"/>
        <v>-7.8887082513165658E-4</v>
      </c>
      <c r="L237" s="9">
        <v>0.1</v>
      </c>
      <c r="M237" s="2">
        <v>0.4</v>
      </c>
      <c r="N237" s="2">
        <v>0</v>
      </c>
      <c r="O237" s="2">
        <v>0.5</v>
      </c>
      <c r="P237" s="8">
        <v>0</v>
      </c>
      <c r="Q237" s="12">
        <f t="shared" si="25"/>
        <v>-4.4099898043173597E-5</v>
      </c>
      <c r="R237" s="3">
        <f t="shared" si="26"/>
        <v>1.9147979115674454E-4</v>
      </c>
      <c r="S237" s="14">
        <f t="shared" si="27"/>
        <v>1.3837622308646257E-2</v>
      </c>
    </row>
    <row r="238" spans="1:19" x14ac:dyDescent="0.35">
      <c r="A238" s="4">
        <v>43780</v>
      </c>
      <c r="B238" s="2">
        <v>52.75</v>
      </c>
      <c r="C238" s="2">
        <v>17.900513</v>
      </c>
      <c r="D238" s="2">
        <v>36.016055999999999</v>
      </c>
      <c r="E238" s="2">
        <v>53.994999</v>
      </c>
      <c r="F238" s="8">
        <v>1378.7885739999999</v>
      </c>
      <c r="G238" s="12">
        <f t="shared" si="28"/>
        <v>0</v>
      </c>
      <c r="H238" s="3">
        <f t="shared" si="29"/>
        <v>0</v>
      </c>
      <c r="I238" s="3">
        <f t="shared" si="30"/>
        <v>1.8506374631675804E-2</v>
      </c>
      <c r="J238" s="3">
        <f t="shared" si="31"/>
        <v>-2.2315115635655924E-2</v>
      </c>
      <c r="K238" s="14">
        <f t="shared" si="32"/>
        <v>-7.3953168838864092E-3</v>
      </c>
      <c r="L238" s="9">
        <v>0</v>
      </c>
      <c r="M238" s="2">
        <v>0.5</v>
      </c>
      <c r="N238" s="2">
        <v>0</v>
      </c>
      <c r="O238" s="2">
        <v>0.5</v>
      </c>
      <c r="P238" s="8">
        <v>0</v>
      </c>
      <c r="Q238" s="12">
        <f t="shared" si="25"/>
        <v>5.6156290706245205E-5</v>
      </c>
      <c r="R238" s="3">
        <f t="shared" si="26"/>
        <v>2.0817433344328022E-4</v>
      </c>
      <c r="S238" s="14">
        <f t="shared" si="27"/>
        <v>1.4428247760670046E-2</v>
      </c>
    </row>
    <row r="239" spans="1:19" x14ac:dyDescent="0.35">
      <c r="A239" s="4">
        <v>43781</v>
      </c>
      <c r="B239" s="2">
        <v>53</v>
      </c>
      <c r="C239" s="2">
        <v>17.805599000000001</v>
      </c>
      <c r="D239" s="2">
        <v>34.695270999999998</v>
      </c>
      <c r="E239" s="2">
        <v>53.179423999999997</v>
      </c>
      <c r="F239" s="8">
        <v>1368.604126</v>
      </c>
      <c r="G239" s="12">
        <f t="shared" si="28"/>
        <v>4.7281411959458957E-3</v>
      </c>
      <c r="H239" s="3">
        <f t="shared" si="29"/>
        <v>-5.3164132547379129E-3</v>
      </c>
      <c r="I239" s="3">
        <f t="shared" si="30"/>
        <v>-3.7361443782900974E-2</v>
      </c>
      <c r="J239" s="3">
        <f t="shared" si="31"/>
        <v>-1.5219876547799126E-2</v>
      </c>
      <c r="K239" s="14">
        <f t="shared" si="32"/>
        <v>-7.413934418753332E-3</v>
      </c>
      <c r="L239" s="9">
        <v>0.4</v>
      </c>
      <c r="M239" s="2">
        <v>0</v>
      </c>
      <c r="N239" s="2">
        <v>0.1</v>
      </c>
      <c r="O239" s="2">
        <v>0.5</v>
      </c>
      <c r="P239" s="8">
        <v>0</v>
      </c>
      <c r="Q239" s="12">
        <f t="shared" si="25"/>
        <v>-3.0037473110886042E-4</v>
      </c>
      <c r="R239" s="3">
        <f t="shared" si="26"/>
        <v>2.8380520707364934E-4</v>
      </c>
      <c r="S239" s="14">
        <f t="shared" si="27"/>
        <v>1.6846519138197343E-2</v>
      </c>
    </row>
    <row r="240" spans="1:19" x14ac:dyDescent="0.35">
      <c r="A240" s="4">
        <v>43782</v>
      </c>
      <c r="B240" s="2">
        <v>52.650002000000001</v>
      </c>
      <c r="C240" s="2">
        <v>17.957462</v>
      </c>
      <c r="D240" s="2">
        <v>34.606560000000002</v>
      </c>
      <c r="E240" s="2">
        <v>53.218727000000001</v>
      </c>
      <c r="F240" s="8">
        <v>1367.5776370000001</v>
      </c>
      <c r="G240" s="12">
        <f t="shared" si="28"/>
        <v>-6.6256369854333927E-3</v>
      </c>
      <c r="H240" s="3">
        <f t="shared" si="29"/>
        <v>8.4927804579237633E-3</v>
      </c>
      <c r="I240" s="3">
        <f t="shared" si="30"/>
        <v>-2.5601357763019093E-3</v>
      </c>
      <c r="J240" s="3">
        <f t="shared" si="31"/>
        <v>7.3879106766953451E-4</v>
      </c>
      <c r="K240" s="14">
        <f t="shared" si="32"/>
        <v>-7.5030764552026221E-4</v>
      </c>
      <c r="L240" s="9">
        <v>0.3</v>
      </c>
      <c r="M240" s="2">
        <v>0.1</v>
      </c>
      <c r="N240" s="2">
        <v>0.1</v>
      </c>
      <c r="O240" s="2">
        <v>0.5</v>
      </c>
      <c r="P240" s="8">
        <v>0</v>
      </c>
      <c r="Q240" s="12">
        <f t="shared" si="25"/>
        <v>-2.0011854235944153E-4</v>
      </c>
      <c r="R240" s="3">
        <f t="shared" si="26"/>
        <v>2.2250211715960268E-4</v>
      </c>
      <c r="S240" s="14">
        <f t="shared" si="27"/>
        <v>1.49165048573586E-2</v>
      </c>
    </row>
    <row r="241" spans="1:19" x14ac:dyDescent="0.35">
      <c r="A241" s="4">
        <v>43783</v>
      </c>
      <c r="B241" s="2">
        <v>52.220001000000003</v>
      </c>
      <c r="C241" s="2">
        <v>17.350021000000002</v>
      </c>
      <c r="D241" s="2">
        <v>34.458710000000004</v>
      </c>
      <c r="E241" s="2">
        <v>54.240653999999999</v>
      </c>
      <c r="F241" s="8">
        <v>1368.8432620000001</v>
      </c>
      <c r="G241" s="12">
        <f t="shared" si="28"/>
        <v>-8.2006941459547792E-3</v>
      </c>
      <c r="H241" s="3">
        <f t="shared" si="29"/>
        <v>-3.4412022090329085E-2</v>
      </c>
      <c r="I241" s="3">
        <f t="shared" si="30"/>
        <v>-4.2814637762883835E-3</v>
      </c>
      <c r="J241" s="3">
        <f t="shared" si="31"/>
        <v>1.902035539721272E-2</v>
      </c>
      <c r="K241" s="14">
        <f t="shared" si="32"/>
        <v>9.250222366803735E-4</v>
      </c>
      <c r="L241" s="9">
        <v>0.2</v>
      </c>
      <c r="M241" s="2">
        <v>0.2</v>
      </c>
      <c r="N241" s="2">
        <v>0.1</v>
      </c>
      <c r="O241" s="2">
        <v>0.5</v>
      </c>
      <c r="P241" s="8">
        <v>0</v>
      </c>
      <c r="Q241" s="12">
        <f t="shared" si="25"/>
        <v>-9.9862353610022842E-5</v>
      </c>
      <c r="R241" s="3">
        <f t="shared" si="26"/>
        <v>1.8576700732668652E-4</v>
      </c>
      <c r="S241" s="14">
        <f t="shared" si="27"/>
        <v>1.3629637094460238E-2</v>
      </c>
    </row>
    <row r="242" spans="1:19" x14ac:dyDescent="0.35">
      <c r="A242" s="4">
        <v>43784</v>
      </c>
      <c r="B242" s="2">
        <v>52.84</v>
      </c>
      <c r="C242" s="2">
        <v>17.621666000000001</v>
      </c>
      <c r="D242" s="2">
        <v>34.675556</v>
      </c>
      <c r="E242" s="2">
        <v>53.719864000000001</v>
      </c>
      <c r="F242" s="8">
        <v>1360.960693</v>
      </c>
      <c r="G242" s="12">
        <f t="shared" si="28"/>
        <v>1.1802897233390933E-2</v>
      </c>
      <c r="H242" s="3">
        <f t="shared" si="29"/>
        <v>1.5535450917389738E-2</v>
      </c>
      <c r="I242" s="3">
        <f t="shared" si="30"/>
        <v>6.2732049872269357E-3</v>
      </c>
      <c r="J242" s="3">
        <f t="shared" si="31"/>
        <v>-9.6478610753100956E-3</v>
      </c>
      <c r="K242" s="14">
        <f t="shared" si="32"/>
        <v>-5.7752066000937791E-3</v>
      </c>
      <c r="L242" s="9">
        <v>0.1</v>
      </c>
      <c r="M242" s="2">
        <v>0.3</v>
      </c>
      <c r="N242" s="2">
        <v>0.1</v>
      </c>
      <c r="O242" s="2">
        <v>0.5</v>
      </c>
      <c r="P242" s="8">
        <v>0</v>
      </c>
      <c r="Q242" s="12">
        <f t="shared" si="25"/>
        <v>3.9383513939598709E-7</v>
      </c>
      <c r="R242" s="3">
        <f t="shared" si="26"/>
        <v>1.7359987757490085E-4</v>
      </c>
      <c r="S242" s="14">
        <f t="shared" si="27"/>
        <v>1.3175730627745122E-2</v>
      </c>
    </row>
    <row r="243" spans="1:19" x14ac:dyDescent="0.35">
      <c r="A243" s="4">
        <v>43788</v>
      </c>
      <c r="B243" s="2">
        <v>53.650002000000001</v>
      </c>
      <c r="C243" s="2">
        <v>17.257940000000001</v>
      </c>
      <c r="D243" s="2">
        <v>34.123584999999999</v>
      </c>
      <c r="E243" s="2">
        <v>53.975346000000002</v>
      </c>
      <c r="F243" s="8">
        <v>1358.4693600000001</v>
      </c>
      <c r="G243" s="12">
        <f t="shared" si="28"/>
        <v>1.521302670124006E-2</v>
      </c>
      <c r="H243" s="3">
        <f t="shared" si="29"/>
        <v>-2.0856840252603974E-2</v>
      </c>
      <c r="I243" s="3">
        <f t="shared" si="30"/>
        <v>-1.6046213235454607E-2</v>
      </c>
      <c r="J243" s="3">
        <f t="shared" si="31"/>
        <v>4.7445467492358831E-3</v>
      </c>
      <c r="K243" s="14">
        <f t="shared" si="32"/>
        <v>-1.832246940294484E-3</v>
      </c>
      <c r="L243" s="9">
        <v>0</v>
      </c>
      <c r="M243" s="2">
        <v>0.4</v>
      </c>
      <c r="N243" s="2">
        <v>0.1</v>
      </c>
      <c r="O243" s="2">
        <v>0.5</v>
      </c>
      <c r="P243" s="8">
        <v>0</v>
      </c>
      <c r="Q243" s="12">
        <f t="shared" si="25"/>
        <v>1.0065002388881482E-4</v>
      </c>
      <c r="R243" s="3">
        <f t="shared" si="26"/>
        <v>1.8600072790424569E-4</v>
      </c>
      <c r="S243" s="14">
        <f t="shared" si="27"/>
        <v>1.3638208383224158E-2</v>
      </c>
    </row>
    <row r="244" spans="1:19" x14ac:dyDescent="0.35">
      <c r="A244" s="4">
        <v>43789</v>
      </c>
      <c r="B244" s="2">
        <v>53.02</v>
      </c>
      <c r="C244" s="2">
        <v>17.076074999999999</v>
      </c>
      <c r="D244" s="2">
        <v>33.896881</v>
      </c>
      <c r="E244" s="2">
        <v>53.592125000000003</v>
      </c>
      <c r="F244" s="8">
        <v>1369.4113769999999</v>
      </c>
      <c r="G244" s="12">
        <f t="shared" si="28"/>
        <v>-1.1812305494485276E-2</v>
      </c>
      <c r="H244" s="3">
        <f t="shared" si="29"/>
        <v>-1.0593966416186984E-2</v>
      </c>
      <c r="I244" s="3">
        <f t="shared" si="30"/>
        <v>-6.6657831900562283E-3</v>
      </c>
      <c r="J244" s="3">
        <f t="shared" si="31"/>
        <v>-7.1252511145747672E-3</v>
      </c>
      <c r="K244" s="14">
        <f t="shared" si="32"/>
        <v>8.0224003463278942E-3</v>
      </c>
      <c r="L244" s="9">
        <v>0.3</v>
      </c>
      <c r="M244" s="2">
        <v>0</v>
      </c>
      <c r="N244" s="2">
        <v>0.2</v>
      </c>
      <c r="O244" s="2">
        <v>0.5</v>
      </c>
      <c r="P244" s="8">
        <v>0</v>
      </c>
      <c r="Q244" s="12">
        <f t="shared" si="25"/>
        <v>-1.5562480917687198E-4</v>
      </c>
      <c r="R244" s="3">
        <f t="shared" si="26"/>
        <v>2.2740812146208156E-4</v>
      </c>
      <c r="S244" s="14">
        <f t="shared" si="27"/>
        <v>1.5080057077547206E-2</v>
      </c>
    </row>
    <row r="245" spans="1:19" x14ac:dyDescent="0.35">
      <c r="A245" s="4">
        <v>43790</v>
      </c>
      <c r="B245" s="2">
        <v>53.299999</v>
      </c>
      <c r="C245" s="2">
        <v>16.884637999999999</v>
      </c>
      <c r="D245" s="2">
        <v>33.689895999999997</v>
      </c>
      <c r="E245" s="2">
        <v>52.717593999999998</v>
      </c>
      <c r="F245" s="8">
        <v>1374.4636230000001</v>
      </c>
      <c r="G245" s="12">
        <f t="shared" si="28"/>
        <v>5.2671115491931446E-3</v>
      </c>
      <c r="H245" s="3">
        <f t="shared" si="29"/>
        <v>-1.1274146554837348E-2</v>
      </c>
      <c r="I245" s="3">
        <f t="shared" si="30"/>
        <v>-6.1250338096275536E-3</v>
      </c>
      <c r="J245" s="3">
        <f t="shared" si="31"/>
        <v>-1.6452883817373316E-2</v>
      </c>
      <c r="K245" s="14">
        <f t="shared" si="32"/>
        <v>3.6825669606551474E-3</v>
      </c>
      <c r="L245" s="9">
        <v>0.2</v>
      </c>
      <c r="M245" s="2">
        <v>0.1</v>
      </c>
      <c r="N245" s="2">
        <v>0.2</v>
      </c>
      <c r="O245" s="2">
        <v>0.5</v>
      </c>
      <c r="P245" s="8">
        <v>0</v>
      </c>
      <c r="Q245" s="12">
        <f t="shared" si="25"/>
        <v>-5.5368620427453203E-5</v>
      </c>
      <c r="R245" s="3">
        <f t="shared" si="26"/>
        <v>1.8637931967197455E-4</v>
      </c>
      <c r="S245" s="14">
        <f t="shared" si="27"/>
        <v>1.3652081148014561E-2</v>
      </c>
    </row>
    <row r="246" spans="1:19" x14ac:dyDescent="0.35">
      <c r="A246" s="4">
        <v>43791</v>
      </c>
      <c r="B246" s="2">
        <v>53.240001999999997</v>
      </c>
      <c r="C246" s="2">
        <v>16.808064999999999</v>
      </c>
      <c r="D246" s="2">
        <v>33.561756000000003</v>
      </c>
      <c r="E246" s="2">
        <v>54.073608</v>
      </c>
      <c r="F246" s="8">
        <v>1365.6245120000001</v>
      </c>
      <c r="G246" s="12">
        <f t="shared" si="28"/>
        <v>-1.1262813174224599E-3</v>
      </c>
      <c r="H246" s="3">
        <f t="shared" si="29"/>
        <v>-4.5453837192231273E-3</v>
      </c>
      <c r="I246" s="3">
        <f t="shared" si="30"/>
        <v>-3.8107660186563106E-3</v>
      </c>
      <c r="J246" s="3">
        <f t="shared" si="31"/>
        <v>2.5396977659275267E-2</v>
      </c>
      <c r="K246" s="14">
        <f t="shared" si="32"/>
        <v>-6.4517206928629773E-3</v>
      </c>
      <c r="L246" s="9">
        <v>0.1</v>
      </c>
      <c r="M246" s="2">
        <v>0.2</v>
      </c>
      <c r="N246" s="2">
        <v>0.2</v>
      </c>
      <c r="O246" s="2">
        <v>0.5</v>
      </c>
      <c r="P246" s="8">
        <v>0</v>
      </c>
      <c r="Q246" s="12">
        <f t="shared" si="25"/>
        <v>4.4887568321965639E-5</v>
      </c>
      <c r="R246" s="3">
        <f t="shared" si="26"/>
        <v>1.6991849796299801E-4</v>
      </c>
      <c r="S246" s="14">
        <f t="shared" si="27"/>
        <v>1.303527897526547E-2</v>
      </c>
    </row>
    <row r="247" spans="1:19" x14ac:dyDescent="0.35">
      <c r="A247" s="4">
        <v>43794</v>
      </c>
      <c r="B247" s="2">
        <v>53.279998999999997</v>
      </c>
      <c r="C247" s="2">
        <v>17.315370999999999</v>
      </c>
      <c r="D247" s="2">
        <v>33.680034999999997</v>
      </c>
      <c r="E247" s="2">
        <v>54.300685999999999</v>
      </c>
      <c r="F247" s="8">
        <v>1362.8939210000001</v>
      </c>
      <c r="G247" s="12">
        <f t="shared" si="28"/>
        <v>7.5097637071446519E-4</v>
      </c>
      <c r="H247" s="3">
        <f t="shared" si="29"/>
        <v>2.973577339233428E-2</v>
      </c>
      <c r="I247" s="3">
        <f t="shared" si="30"/>
        <v>3.5180241403717349E-3</v>
      </c>
      <c r="J247" s="3">
        <f t="shared" si="31"/>
        <v>4.1906308947574286E-3</v>
      </c>
      <c r="K247" s="14">
        <f t="shared" si="32"/>
        <v>-2.0015198567513853E-3</v>
      </c>
      <c r="L247" s="9">
        <v>0</v>
      </c>
      <c r="M247" s="2">
        <v>0.3</v>
      </c>
      <c r="N247" s="2">
        <v>0.2</v>
      </c>
      <c r="O247" s="2">
        <v>0.5</v>
      </c>
      <c r="P247" s="8">
        <v>0</v>
      </c>
      <c r="Q247" s="12">
        <f t="shared" si="25"/>
        <v>1.4514375707138445E-4</v>
      </c>
      <c r="R247" s="3">
        <f t="shared" si="26"/>
        <v>1.7802565633515189E-4</v>
      </c>
      <c r="S247" s="14">
        <f t="shared" si="27"/>
        <v>1.3342625541292534E-2</v>
      </c>
    </row>
    <row r="248" spans="1:19" x14ac:dyDescent="0.35">
      <c r="A248" s="4">
        <v>43795</v>
      </c>
      <c r="B248" s="2">
        <v>52</v>
      </c>
      <c r="C248" s="2">
        <v>17.707813000000002</v>
      </c>
      <c r="D248" s="2">
        <v>32.950648999999999</v>
      </c>
      <c r="E248" s="2">
        <v>52.987591000000002</v>
      </c>
      <c r="F248" s="8">
        <v>1381.2001949999999</v>
      </c>
      <c r="G248" s="12">
        <f t="shared" si="28"/>
        <v>-2.431728888193728E-2</v>
      </c>
      <c r="H248" s="3">
        <f t="shared" si="29"/>
        <v>2.2411350481706855E-2</v>
      </c>
      <c r="I248" s="3">
        <f t="shared" si="30"/>
        <v>-2.1894271301579008E-2</v>
      </c>
      <c r="J248" s="3">
        <f t="shared" si="31"/>
        <v>-2.447910631412608E-2</v>
      </c>
      <c r="K248" s="14">
        <f t="shared" si="32"/>
        <v>1.3342505615806344E-2</v>
      </c>
      <c r="L248" s="9">
        <v>0.2</v>
      </c>
      <c r="M248" s="2">
        <v>0</v>
      </c>
      <c r="N248" s="2">
        <v>0.3</v>
      </c>
      <c r="O248" s="2">
        <v>0.5</v>
      </c>
      <c r="P248" s="8">
        <v>0</v>
      </c>
      <c r="Q248" s="12">
        <f t="shared" si="25"/>
        <v>-1.0874887244883592E-5</v>
      </c>
      <c r="R248" s="3">
        <f t="shared" si="26"/>
        <v>2.0119016598720336E-4</v>
      </c>
      <c r="S248" s="14">
        <f t="shared" si="27"/>
        <v>1.4184151930489301E-2</v>
      </c>
    </row>
    <row r="249" spans="1:19" x14ac:dyDescent="0.35">
      <c r="A249" s="4">
        <v>43796</v>
      </c>
      <c r="B249" s="2">
        <v>53.450001</v>
      </c>
      <c r="C249" s="2">
        <v>18.195976000000002</v>
      </c>
      <c r="D249" s="2">
        <v>32.881653</v>
      </c>
      <c r="E249" s="2">
        <v>53.560218999999996</v>
      </c>
      <c r="F249" s="8">
        <v>1378.569336</v>
      </c>
      <c r="G249" s="12">
        <f t="shared" si="28"/>
        <v>2.7502937598700691E-2</v>
      </c>
      <c r="H249" s="3">
        <f t="shared" si="29"/>
        <v>2.7194516120330282E-2</v>
      </c>
      <c r="I249" s="3">
        <f t="shared" si="30"/>
        <v>-2.0961146174802419E-3</v>
      </c>
      <c r="J249" s="3">
        <f t="shared" si="31"/>
        <v>1.0748855623448291E-2</v>
      </c>
      <c r="K249" s="14">
        <f t="shared" si="32"/>
        <v>-1.9065793483033337E-3</v>
      </c>
      <c r="L249" s="9">
        <v>0.1</v>
      </c>
      <c r="M249" s="2">
        <v>0.1</v>
      </c>
      <c r="N249" s="2">
        <v>0.3</v>
      </c>
      <c r="O249" s="2">
        <v>0.5</v>
      </c>
      <c r="P249" s="8">
        <v>0</v>
      </c>
      <c r="Q249" s="12">
        <f t="shared" si="25"/>
        <v>8.9381301504535223E-5</v>
      </c>
      <c r="R249" s="3">
        <f t="shared" si="26"/>
        <v>1.8043565232103595E-4</v>
      </c>
      <c r="S249" s="14">
        <f t="shared" si="27"/>
        <v>1.3432633856434707E-2</v>
      </c>
    </row>
    <row r="250" spans="1:19" x14ac:dyDescent="0.35">
      <c r="A250" s="4">
        <v>43797</v>
      </c>
      <c r="B250" s="2">
        <v>53.139999000000003</v>
      </c>
      <c r="C250" s="2">
        <v>18.358695999999998</v>
      </c>
      <c r="D250" s="2">
        <v>33.098498999999997</v>
      </c>
      <c r="E250" s="2">
        <v>53.599708999999997</v>
      </c>
      <c r="F250" s="8">
        <v>1372.470581</v>
      </c>
      <c r="G250" s="12">
        <f t="shared" si="28"/>
        <v>-5.8167346666767048E-3</v>
      </c>
      <c r="H250" s="3">
        <f t="shared" si="29"/>
        <v>8.9028879691959439E-3</v>
      </c>
      <c r="I250" s="3">
        <f t="shared" si="30"/>
        <v>6.5730912758413564E-3</v>
      </c>
      <c r="J250" s="3">
        <f t="shared" si="31"/>
        <v>7.3702927063597874E-4</v>
      </c>
      <c r="K250" s="14">
        <f t="shared" si="32"/>
        <v>-4.4337888035228213E-3</v>
      </c>
      <c r="L250" s="9">
        <v>0</v>
      </c>
      <c r="M250" s="2">
        <v>0.2</v>
      </c>
      <c r="N250" s="2">
        <v>0.3</v>
      </c>
      <c r="O250" s="2">
        <v>0.5</v>
      </c>
      <c r="P250" s="8">
        <v>0</v>
      </c>
      <c r="Q250" s="12">
        <f t="shared" si="25"/>
        <v>1.8963749025395406E-4</v>
      </c>
      <c r="R250" s="3">
        <f t="shared" si="26"/>
        <v>1.8424911873599897E-4</v>
      </c>
      <c r="S250" s="14">
        <f t="shared" si="27"/>
        <v>1.3573839498682714E-2</v>
      </c>
    </row>
    <row r="251" spans="1:19" x14ac:dyDescent="0.35">
      <c r="A251" s="4">
        <v>43798</v>
      </c>
      <c r="B251" s="2">
        <v>52.98</v>
      </c>
      <c r="C251" s="2">
        <v>18.444841</v>
      </c>
      <c r="D251" s="2">
        <v>33.315342000000001</v>
      </c>
      <c r="E251" s="2">
        <v>53.787295999999998</v>
      </c>
      <c r="F251" s="8">
        <v>1363.0832519999999</v>
      </c>
      <c r="G251" s="12">
        <f t="shared" si="28"/>
        <v>-3.0154376695277559E-3</v>
      </c>
      <c r="H251" s="3">
        <f t="shared" si="29"/>
        <v>4.6813520843208218E-3</v>
      </c>
      <c r="I251" s="3">
        <f t="shared" si="30"/>
        <v>6.5300776851473239E-3</v>
      </c>
      <c r="J251" s="3">
        <f t="shared" si="31"/>
        <v>3.4936664972191663E-3</v>
      </c>
      <c r="K251" s="14">
        <f t="shared" si="32"/>
        <v>-6.863228743702255E-3</v>
      </c>
      <c r="L251" s="9">
        <v>0.1</v>
      </c>
      <c r="M251" s="2">
        <v>0</v>
      </c>
      <c r="N251" s="2">
        <v>0.4</v>
      </c>
      <c r="O251" s="2">
        <v>0.5</v>
      </c>
      <c r="P251" s="8">
        <v>0</v>
      </c>
      <c r="Q251" s="12">
        <f t="shared" si="25"/>
        <v>1.3387503468710485E-4</v>
      </c>
      <c r="R251" s="3">
        <f t="shared" si="26"/>
        <v>2.0515134064901473E-4</v>
      </c>
      <c r="S251" s="14">
        <f t="shared" si="27"/>
        <v>1.4323105132931712E-2</v>
      </c>
    </row>
    <row r="252" spans="1:19" x14ac:dyDescent="0.35">
      <c r="A252" s="4">
        <v>43801</v>
      </c>
      <c r="B252" s="2">
        <v>53.669998</v>
      </c>
      <c r="C252" s="2">
        <v>18.176832000000001</v>
      </c>
      <c r="D252" s="2">
        <v>33.364623999999999</v>
      </c>
      <c r="E252" s="2">
        <v>53.500979999999998</v>
      </c>
      <c r="F252" s="8">
        <v>1376.7855219999999</v>
      </c>
      <c r="G252" s="12">
        <f t="shared" si="28"/>
        <v>1.2939665080046927E-2</v>
      </c>
      <c r="H252" s="3">
        <f t="shared" si="29"/>
        <v>-1.4636894650201191E-2</v>
      </c>
      <c r="I252" s="3">
        <f t="shared" si="30"/>
        <v>1.4781653899858431E-3</v>
      </c>
      <c r="J252" s="3">
        <f t="shared" si="31"/>
        <v>-5.3373339635580195E-3</v>
      </c>
      <c r="K252" s="14">
        <f t="shared" si="32"/>
        <v>1.0002219351606161E-2</v>
      </c>
      <c r="L252" s="9">
        <v>0</v>
      </c>
      <c r="M252" s="2">
        <v>0.1</v>
      </c>
      <c r="N252" s="2">
        <v>0.4</v>
      </c>
      <c r="O252" s="2">
        <v>0.5</v>
      </c>
      <c r="P252" s="8">
        <v>0</v>
      </c>
      <c r="Q252" s="12">
        <f t="shared" si="25"/>
        <v>2.3413122343652368E-4</v>
      </c>
      <c r="R252" s="3">
        <f t="shared" si="26"/>
        <v>2.0467111510678689E-4</v>
      </c>
      <c r="S252" s="14">
        <f t="shared" si="27"/>
        <v>1.430633129445795E-2</v>
      </c>
    </row>
    <row r="253" spans="1:19" x14ac:dyDescent="0.35">
      <c r="A253" s="4">
        <v>43802</v>
      </c>
      <c r="B253" s="2">
        <v>52.98</v>
      </c>
      <c r="C253" s="2">
        <v>17.927965</v>
      </c>
      <c r="D253" s="2">
        <v>33.236491999999998</v>
      </c>
      <c r="E253" s="2">
        <v>53.658946999999998</v>
      </c>
      <c r="F253" s="8">
        <v>1387.6976320000001</v>
      </c>
      <c r="G253" s="12">
        <f t="shared" si="28"/>
        <v>-1.2939665080047E-2</v>
      </c>
      <c r="H253" s="3">
        <f t="shared" si="29"/>
        <v>-1.3786031895738987E-2</v>
      </c>
      <c r="I253" s="3">
        <f t="shared" si="30"/>
        <v>-3.8477480793138947E-3</v>
      </c>
      <c r="J253" s="3">
        <f t="shared" si="31"/>
        <v>2.9482497580102644E-3</v>
      </c>
      <c r="K253" s="14">
        <f t="shared" si="32"/>
        <v>7.894543801326679E-3</v>
      </c>
      <c r="L253" s="9">
        <v>0</v>
      </c>
      <c r="M253" s="2">
        <v>0</v>
      </c>
      <c r="N253" s="2">
        <v>0.5</v>
      </c>
      <c r="O253" s="2">
        <v>0.5</v>
      </c>
      <c r="P253" s="8">
        <v>0</v>
      </c>
      <c r="Q253" s="12">
        <f t="shared" si="25"/>
        <v>2.7862495661909329E-4</v>
      </c>
      <c r="R253" s="3">
        <f t="shared" si="26"/>
        <v>2.3929164544751557E-4</v>
      </c>
      <c r="S253" s="14">
        <f t="shared" si="27"/>
        <v>1.5469054445812633E-2</v>
      </c>
    </row>
    <row r="254" spans="1:19" x14ac:dyDescent="0.35">
      <c r="A254" s="4">
        <v>43803</v>
      </c>
      <c r="B254" s="2">
        <v>53.169998</v>
      </c>
      <c r="C254" s="2">
        <v>17.631239000000001</v>
      </c>
      <c r="D254" s="2">
        <v>33.236491999999998</v>
      </c>
      <c r="E254" s="2">
        <v>53.214672</v>
      </c>
      <c r="F254" s="8">
        <v>1389.8402100000001</v>
      </c>
      <c r="G254" s="12">
        <f t="shared" si="28"/>
        <v>3.5798060571262573E-3</v>
      </c>
      <c r="H254" s="3">
        <f t="shared" si="29"/>
        <v>-1.6689512367523973E-2</v>
      </c>
      <c r="I254" s="3">
        <f t="shared" si="30"/>
        <v>0</v>
      </c>
      <c r="J254" s="3">
        <f t="shared" si="31"/>
        <v>-8.3140734508556236E-3</v>
      </c>
      <c r="K254" s="14">
        <f t="shared" si="32"/>
        <v>1.542789727349034E-3</v>
      </c>
      <c r="L254" s="9">
        <v>0.4</v>
      </c>
      <c r="M254" s="2">
        <v>0</v>
      </c>
      <c r="N254" s="2">
        <v>0</v>
      </c>
      <c r="O254" s="2">
        <v>0.6</v>
      </c>
      <c r="P254" s="8">
        <v>0</v>
      </c>
      <c r="Q254" s="12">
        <f t="shared" si="25"/>
        <v>-3.0257285917691763E-4</v>
      </c>
      <c r="R254" s="3">
        <f t="shared" si="26"/>
        <v>3.0110755391253352E-4</v>
      </c>
      <c r="S254" s="14">
        <f t="shared" si="27"/>
        <v>1.7352450948282017E-2</v>
      </c>
    </row>
    <row r="255" spans="1:19" x14ac:dyDescent="0.35">
      <c r="A255" s="4">
        <v>43804</v>
      </c>
      <c r="B255" s="2">
        <v>52.779998999999997</v>
      </c>
      <c r="C255" s="2">
        <v>17.525948</v>
      </c>
      <c r="D255" s="2">
        <v>32.802799</v>
      </c>
      <c r="E255" s="2">
        <v>53.165301999999997</v>
      </c>
      <c r="F255" s="8">
        <v>1377.194092</v>
      </c>
      <c r="G255" s="12">
        <f t="shared" si="28"/>
        <v>-7.3619777724427187E-3</v>
      </c>
      <c r="H255" s="3">
        <f t="shared" si="29"/>
        <v>-5.9897462669075471E-3</v>
      </c>
      <c r="I255" s="3">
        <f t="shared" si="30"/>
        <v>-1.3134581803489873E-2</v>
      </c>
      <c r="J255" s="3">
        <f t="shared" si="31"/>
        <v>-9.28182282587339E-4</v>
      </c>
      <c r="K255" s="14">
        <f t="shared" si="32"/>
        <v>-9.1406210904857212E-3</v>
      </c>
      <c r="L255" s="9">
        <v>0.3</v>
      </c>
      <c r="M255" s="2">
        <v>0.1</v>
      </c>
      <c r="N255" s="2">
        <v>0</v>
      </c>
      <c r="O255" s="2">
        <v>0.6</v>
      </c>
      <c r="P255" s="8">
        <v>0</v>
      </c>
      <c r="Q255" s="12">
        <f t="shared" si="25"/>
        <v>-2.0231667042749877E-4</v>
      </c>
      <c r="R255" s="3">
        <f t="shared" si="26"/>
        <v>2.3846596989203991E-4</v>
      </c>
      <c r="S255" s="14">
        <f t="shared" si="27"/>
        <v>1.5442343406751447E-2</v>
      </c>
    </row>
    <row r="256" spans="1:19" x14ac:dyDescent="0.35">
      <c r="A256" s="4">
        <v>43805</v>
      </c>
      <c r="B256" s="2">
        <v>51.77</v>
      </c>
      <c r="C256" s="2">
        <v>17.391945</v>
      </c>
      <c r="D256" s="2">
        <v>32.566242000000003</v>
      </c>
      <c r="E256" s="2">
        <v>52.878993999999999</v>
      </c>
      <c r="F256" s="8">
        <v>1376.496582</v>
      </c>
      <c r="G256" s="12">
        <f t="shared" si="28"/>
        <v>-1.9321481214797032E-2</v>
      </c>
      <c r="H256" s="3">
        <f t="shared" si="29"/>
        <v>-7.6753576084821864E-3</v>
      </c>
      <c r="I256" s="3">
        <f t="shared" si="30"/>
        <v>-7.2376167376062527E-3</v>
      </c>
      <c r="J256" s="3">
        <f t="shared" si="31"/>
        <v>-5.3997943590499376E-3</v>
      </c>
      <c r="K256" s="14">
        <f t="shared" si="32"/>
        <v>-5.0660012143226762E-4</v>
      </c>
      <c r="L256" s="9">
        <v>0.2</v>
      </c>
      <c r="M256" s="2">
        <v>0.2</v>
      </c>
      <c r="N256" s="2">
        <v>0</v>
      </c>
      <c r="O256" s="2">
        <v>0.6</v>
      </c>
      <c r="P256" s="8">
        <v>0</v>
      </c>
      <c r="Q256" s="12">
        <f t="shared" si="25"/>
        <v>-1.0206048167808005E-4</v>
      </c>
      <c r="R256" s="3">
        <f t="shared" si="26"/>
        <v>2.003923659526768E-4</v>
      </c>
      <c r="S256" s="14">
        <f t="shared" si="27"/>
        <v>1.4156001057949834E-2</v>
      </c>
    </row>
    <row r="257" spans="1:19" x14ac:dyDescent="0.35">
      <c r="A257" s="4">
        <v>43808</v>
      </c>
      <c r="B257" s="2">
        <v>51.369999</v>
      </c>
      <c r="C257" s="2">
        <v>17.411089</v>
      </c>
      <c r="D257" s="2">
        <v>32.457816999999999</v>
      </c>
      <c r="E257" s="2">
        <v>52.760517</v>
      </c>
      <c r="F257" s="8">
        <v>1371.852783</v>
      </c>
      <c r="G257" s="12">
        <f t="shared" si="28"/>
        <v>-7.7565059012484902E-3</v>
      </c>
      <c r="H257" s="3">
        <f t="shared" si="29"/>
        <v>1.1001340820358297E-3</v>
      </c>
      <c r="I257" s="3">
        <f t="shared" si="30"/>
        <v>-3.3349225550271095E-3</v>
      </c>
      <c r="J257" s="3">
        <f t="shared" si="31"/>
        <v>-2.24304426539648E-3</v>
      </c>
      <c r="K257" s="14">
        <f t="shared" si="32"/>
        <v>-3.3793399619877615E-3</v>
      </c>
      <c r="L257" s="9">
        <v>0.1</v>
      </c>
      <c r="M257" s="2">
        <v>0.3</v>
      </c>
      <c r="N257" s="2">
        <v>0</v>
      </c>
      <c r="O257" s="2">
        <v>0.6</v>
      </c>
      <c r="P257" s="8">
        <v>0</v>
      </c>
      <c r="Q257" s="12">
        <f t="shared" si="25"/>
        <v>-1.8042929286612248E-6</v>
      </c>
      <c r="R257" s="3">
        <f t="shared" si="26"/>
        <v>1.868867420944442E-4</v>
      </c>
      <c r="S257" s="14">
        <f t="shared" si="27"/>
        <v>1.3670652584805314E-2</v>
      </c>
    </row>
    <row r="258" spans="1:19" x14ac:dyDescent="0.35">
      <c r="A258" s="4">
        <v>43809</v>
      </c>
      <c r="B258" s="2">
        <v>52.950001</v>
      </c>
      <c r="C258" s="2">
        <v>17.363230000000001</v>
      </c>
      <c r="D258" s="2">
        <v>32.783085</v>
      </c>
      <c r="E258" s="2">
        <v>54.043990999999998</v>
      </c>
      <c r="F258" s="8">
        <v>1394.9323730000001</v>
      </c>
      <c r="G258" s="12">
        <f t="shared" si="28"/>
        <v>3.0293765920595017E-2</v>
      </c>
      <c r="H258" s="3">
        <f t="shared" si="29"/>
        <v>-2.7525502493436003E-3</v>
      </c>
      <c r="I258" s="3">
        <f t="shared" si="30"/>
        <v>9.9713733285145111E-3</v>
      </c>
      <c r="J258" s="3">
        <f t="shared" si="31"/>
        <v>2.403523617540106E-2</v>
      </c>
      <c r="K258" s="14">
        <f t="shared" si="32"/>
        <v>1.6683713435906421E-2</v>
      </c>
      <c r="L258" s="9">
        <v>0</v>
      </c>
      <c r="M258" s="2">
        <v>0.4</v>
      </c>
      <c r="N258" s="2">
        <v>0</v>
      </c>
      <c r="O258" s="2">
        <v>0.6</v>
      </c>
      <c r="P258" s="8">
        <v>0</v>
      </c>
      <c r="Q258" s="12">
        <f t="shared" si="25"/>
        <v>9.8451895820757604E-5</v>
      </c>
      <c r="R258" s="3">
        <f t="shared" si="26"/>
        <v>1.9794909831734209E-4</v>
      </c>
      <c r="S258" s="14">
        <f t="shared" si="27"/>
        <v>1.4069438450675353E-2</v>
      </c>
    </row>
    <row r="259" spans="1:19" x14ac:dyDescent="0.35">
      <c r="A259" s="4">
        <v>43810</v>
      </c>
      <c r="B259" s="2">
        <v>53.029998999999997</v>
      </c>
      <c r="C259" s="2">
        <v>17.248366999999998</v>
      </c>
      <c r="D259" s="2">
        <v>33.818030999999998</v>
      </c>
      <c r="E259" s="2">
        <v>54.438904000000001</v>
      </c>
      <c r="F259" s="8">
        <v>1386.1130370000001</v>
      </c>
      <c r="G259" s="12">
        <f t="shared" si="28"/>
        <v>1.5096813586312902E-3</v>
      </c>
      <c r="H259" s="3">
        <f t="shared" si="29"/>
        <v>-6.6372795035100742E-3</v>
      </c>
      <c r="I259" s="3">
        <f t="shared" si="30"/>
        <v>3.1081440636434466E-2</v>
      </c>
      <c r="J259" s="3">
        <f t="shared" si="31"/>
        <v>7.2806822581903928E-3</v>
      </c>
      <c r="K259" s="14">
        <f t="shared" si="32"/>
        <v>-6.3424822427899652E-3</v>
      </c>
      <c r="L259" s="9">
        <v>0.3</v>
      </c>
      <c r="M259" s="2">
        <v>0</v>
      </c>
      <c r="N259" s="2">
        <v>0.1</v>
      </c>
      <c r="O259" s="2">
        <v>0.6</v>
      </c>
      <c r="P259" s="8">
        <v>0</v>
      </c>
      <c r="Q259" s="12">
        <f t="shared" ref="Q259:Q322" si="33">SUMPRODUCT($U$5:$Y$5,L259:P259)</f>
        <v>-1.5782293724492916E-4</v>
      </c>
      <c r="R259" s="3">
        <f t="shared" ref="R259:R322" si="34">POWER(L259,2)*$V$9+POWER(M259,2)*$W$10+POWER(N259,2)*$X$11+POWER(O259,2)*$Y$12+POWER(P259,2)*$Z$13+2*(L259*M259*$V$10+N259*O259*$X$12+N259*P259*$X$13+$O$3*P259*$Y$13+L259*N259*$V$11+L259*O259*$V$12+L259*P259*$V$13+M259*N259*$W$11+M259*O259*$W$12+M259*P259*$W$13)</f>
        <v>2.3565493480887497E-4</v>
      </c>
      <c r="S259" s="14">
        <f t="shared" si="27"/>
        <v>1.5351056472076277E-2</v>
      </c>
    </row>
    <row r="260" spans="1:19" x14ac:dyDescent="0.35">
      <c r="A260" s="4">
        <v>43812</v>
      </c>
      <c r="B260" s="2">
        <v>52.810001</v>
      </c>
      <c r="C260" s="2">
        <v>15.889175</v>
      </c>
      <c r="D260" s="2">
        <v>33.266060000000003</v>
      </c>
      <c r="E260" s="2">
        <v>54.912799999999997</v>
      </c>
      <c r="F260" s="8">
        <v>1382.2664789999999</v>
      </c>
      <c r="G260" s="12">
        <f t="shared" si="28"/>
        <v>-4.1571866371385739E-3</v>
      </c>
      <c r="H260" s="3">
        <f t="shared" si="29"/>
        <v>-8.2079412574959376E-2</v>
      </c>
      <c r="I260" s="3">
        <f t="shared" si="30"/>
        <v>-1.645646377733585E-2</v>
      </c>
      <c r="J260" s="3">
        <f t="shared" si="31"/>
        <v>8.6674271990278776E-3</v>
      </c>
      <c r="K260" s="14">
        <f t="shared" si="32"/>
        <v>-2.7789256878731523E-3</v>
      </c>
      <c r="L260" s="9">
        <v>0.2</v>
      </c>
      <c r="M260" s="2">
        <v>0.1</v>
      </c>
      <c r="N260" s="2">
        <v>0.1</v>
      </c>
      <c r="O260" s="2">
        <v>0.6</v>
      </c>
      <c r="P260" s="8">
        <v>0</v>
      </c>
      <c r="Q260" s="12">
        <f t="shared" si="33"/>
        <v>-5.7566748495510415E-5</v>
      </c>
      <c r="R260" s="3">
        <f t="shared" si="34"/>
        <v>1.9328763891232099E-4</v>
      </c>
      <c r="S260" s="14">
        <f t="shared" ref="S260:S323" si="35">SQRT(R260)</f>
        <v>1.3902792486127418E-2</v>
      </c>
    </row>
    <row r="261" spans="1:19" x14ac:dyDescent="0.35">
      <c r="A261" s="4">
        <v>43815</v>
      </c>
      <c r="B261" s="2">
        <v>52.32</v>
      </c>
      <c r="C261" s="2">
        <v>15.659451000000001</v>
      </c>
      <c r="D261" s="2">
        <v>33.335056000000002</v>
      </c>
      <c r="E261" s="2">
        <v>53.530602000000002</v>
      </c>
      <c r="F261" s="8">
        <v>1395.2113039999999</v>
      </c>
      <c r="G261" s="12">
        <f t="shared" ref="G261:G324" si="36">LN(B261/B260)</f>
        <v>-9.3218785057059845E-3</v>
      </c>
      <c r="H261" s="3">
        <f t="shared" ref="H261:H324" si="37">LN(C261/C260)</f>
        <v>-1.4563427277705685E-2</v>
      </c>
      <c r="I261" s="3">
        <f t="shared" ref="I261:I324" si="38">LN(D261/D260)</f>
        <v>2.0719179745401894E-3</v>
      </c>
      <c r="J261" s="3">
        <f t="shared" ref="J261:J324" si="39">LN(E261/E260)</f>
        <v>-2.5492982151625192E-2</v>
      </c>
      <c r="K261" s="14">
        <f t="shared" ref="K261:K324" si="40">LN(F261/F260)</f>
        <v>9.3213481726143622E-3</v>
      </c>
      <c r="L261" s="9">
        <v>0.1</v>
      </c>
      <c r="M261" s="2">
        <v>0.2</v>
      </c>
      <c r="N261" s="2">
        <v>0.1</v>
      </c>
      <c r="O261" s="2">
        <v>0.6</v>
      </c>
      <c r="P261" s="8">
        <v>0</v>
      </c>
      <c r="Q261" s="12">
        <f t="shared" si="33"/>
        <v>4.2689440253908413E-5</v>
      </c>
      <c r="R261" s="3">
        <f t="shared" si="34"/>
        <v>1.754883230968975E-4</v>
      </c>
      <c r="S261" s="14">
        <f t="shared" si="35"/>
        <v>1.3247200575853659E-2</v>
      </c>
    </row>
    <row r="262" spans="1:19" x14ac:dyDescent="0.35">
      <c r="A262" s="4">
        <v>43816</v>
      </c>
      <c r="B262" s="2">
        <v>51.549999</v>
      </c>
      <c r="C262" s="2">
        <v>15.678594</v>
      </c>
      <c r="D262" s="2">
        <v>33.295628000000001</v>
      </c>
      <c r="E262" s="2">
        <v>55.475552</v>
      </c>
      <c r="F262" s="8">
        <v>1393.7464600000001</v>
      </c>
      <c r="G262" s="12">
        <f t="shared" si="36"/>
        <v>-1.4826516084616605E-2</v>
      </c>
      <c r="H262" s="3">
        <f t="shared" si="37"/>
        <v>1.2217100576011623E-3</v>
      </c>
      <c r="I262" s="3">
        <f t="shared" si="38"/>
        <v>-1.1834789089656388E-3</v>
      </c>
      <c r="J262" s="3">
        <f t="shared" si="39"/>
        <v>3.5688928824955966E-2</v>
      </c>
      <c r="K262" s="14">
        <f t="shared" si="40"/>
        <v>-1.0504598912243303E-3</v>
      </c>
      <c r="L262" s="9">
        <v>0</v>
      </c>
      <c r="M262" s="2">
        <v>0.3</v>
      </c>
      <c r="N262" s="2">
        <v>0.1</v>
      </c>
      <c r="O262" s="2">
        <v>0.6</v>
      </c>
      <c r="P262" s="8">
        <v>0</v>
      </c>
      <c r="Q262" s="12">
        <f t="shared" si="33"/>
        <v>1.4294562900332721E-4</v>
      </c>
      <c r="R262" s="3">
        <f t="shared" si="34"/>
        <v>1.8225698736260449E-4</v>
      </c>
      <c r="S262" s="14">
        <f t="shared" si="35"/>
        <v>1.3500258788727144E-2</v>
      </c>
    </row>
    <row r="263" spans="1:19" x14ac:dyDescent="0.35">
      <c r="A263" s="4">
        <v>43817</v>
      </c>
      <c r="B263" s="2">
        <v>52.599997999999999</v>
      </c>
      <c r="C263" s="2">
        <v>15.630736000000001</v>
      </c>
      <c r="D263" s="2">
        <v>33.699748999999997</v>
      </c>
      <c r="E263" s="2">
        <v>56.166649</v>
      </c>
      <c r="F263" s="8">
        <v>1390.029419</v>
      </c>
      <c r="G263" s="12">
        <f t="shared" si="36"/>
        <v>2.0163890656523107E-2</v>
      </c>
      <c r="H263" s="3">
        <f t="shared" si="37"/>
        <v>-3.0571102781882641E-3</v>
      </c>
      <c r="I263" s="3">
        <f t="shared" si="38"/>
        <v>1.20642921837115E-2</v>
      </c>
      <c r="J263" s="3">
        <f t="shared" si="39"/>
        <v>1.2380727386924743E-2</v>
      </c>
      <c r="K263" s="14">
        <f t="shared" si="40"/>
        <v>-2.6705046459207225E-3</v>
      </c>
      <c r="L263" s="9">
        <v>0.2</v>
      </c>
      <c r="M263" s="2">
        <v>0</v>
      </c>
      <c r="N263" s="2">
        <v>0.2</v>
      </c>
      <c r="O263" s="2">
        <v>0.6</v>
      </c>
      <c r="P263" s="8">
        <v>0</v>
      </c>
      <c r="Q263" s="12">
        <f t="shared" si="33"/>
        <v>-1.3073015312940777E-5</v>
      </c>
      <c r="R263" s="3">
        <f t="shared" si="34"/>
        <v>2.00381445841906E-4</v>
      </c>
      <c r="S263" s="14">
        <f t="shared" si="35"/>
        <v>1.4155615346635625E-2</v>
      </c>
    </row>
    <row r="264" spans="1:19" x14ac:dyDescent="0.35">
      <c r="A264" s="4">
        <v>43818</v>
      </c>
      <c r="B264" s="2">
        <v>52.700001</v>
      </c>
      <c r="C264" s="2">
        <v>15.420156</v>
      </c>
      <c r="D264" s="2">
        <v>34.015160000000002</v>
      </c>
      <c r="E264" s="2">
        <v>54.804195</v>
      </c>
      <c r="F264" s="8">
        <v>1396.4072269999999</v>
      </c>
      <c r="G264" s="12">
        <f t="shared" si="36"/>
        <v>1.8993928017987144E-3</v>
      </c>
      <c r="H264" s="3">
        <f t="shared" si="37"/>
        <v>-1.3563747440751029E-2</v>
      </c>
      <c r="I264" s="3">
        <f t="shared" si="38"/>
        <v>9.3159183337427707E-3</v>
      </c>
      <c r="J264" s="3">
        <f t="shared" si="39"/>
        <v>-2.4556404465223124E-2</v>
      </c>
      <c r="K264" s="14">
        <f t="shared" si="40"/>
        <v>4.5777600196797077E-3</v>
      </c>
      <c r="L264" s="9">
        <v>0.1</v>
      </c>
      <c r="M264" s="2">
        <v>0.1</v>
      </c>
      <c r="N264" s="2">
        <v>0.2</v>
      </c>
      <c r="O264" s="2">
        <v>0.6</v>
      </c>
      <c r="P264" s="8">
        <v>0</v>
      </c>
      <c r="Q264" s="12">
        <f t="shared" si="33"/>
        <v>8.7183173436478011E-5</v>
      </c>
      <c r="R264" s="3">
        <f t="shared" si="34"/>
        <v>1.7828843806929161E-4</v>
      </c>
      <c r="S264" s="14">
        <f t="shared" si="35"/>
        <v>1.3352469362230029E-2</v>
      </c>
    </row>
    <row r="265" spans="1:19" x14ac:dyDescent="0.35">
      <c r="A265" s="4">
        <v>43819</v>
      </c>
      <c r="B265" s="2">
        <v>51.720001000000003</v>
      </c>
      <c r="C265" s="2">
        <v>15.381868000000001</v>
      </c>
      <c r="D265" s="2">
        <v>34.350285</v>
      </c>
      <c r="E265" s="2">
        <v>56.245635999999998</v>
      </c>
      <c r="F265" s="8">
        <v>1396.4372559999999</v>
      </c>
      <c r="G265" s="12">
        <f t="shared" si="36"/>
        <v>-1.877090128411182E-2</v>
      </c>
      <c r="H265" s="3">
        <f t="shared" si="37"/>
        <v>-2.4860716763339895E-3</v>
      </c>
      <c r="I265" s="3">
        <f t="shared" si="38"/>
        <v>9.8040079840651956E-3</v>
      </c>
      <c r="J265" s="3">
        <f t="shared" si="39"/>
        <v>2.5961713733676086E-2</v>
      </c>
      <c r="K265" s="14">
        <f t="shared" si="40"/>
        <v>2.1504240700890391E-5</v>
      </c>
      <c r="L265" s="9">
        <v>0</v>
      </c>
      <c r="M265" s="2">
        <v>0.2</v>
      </c>
      <c r="N265" s="2">
        <v>0.2</v>
      </c>
      <c r="O265" s="2">
        <v>0.6</v>
      </c>
      <c r="P265" s="8">
        <v>0</v>
      </c>
      <c r="Q265" s="12">
        <f t="shared" si="33"/>
        <v>1.8743936218589685E-4</v>
      </c>
      <c r="R265" s="3">
        <f t="shared" si="34"/>
        <v>1.8076341037780771E-4</v>
      </c>
      <c r="S265" s="14">
        <f t="shared" si="35"/>
        <v>1.3444828387815431E-2</v>
      </c>
    </row>
    <row r="266" spans="1:19" x14ac:dyDescent="0.35">
      <c r="A266" s="4">
        <v>43822</v>
      </c>
      <c r="B266" s="2">
        <v>51.84</v>
      </c>
      <c r="C266" s="2">
        <v>15.295722</v>
      </c>
      <c r="D266" s="2">
        <v>33.640613999999999</v>
      </c>
      <c r="E266" s="2">
        <v>54.646228999999998</v>
      </c>
      <c r="F266" s="8">
        <v>1385.196289</v>
      </c>
      <c r="G266" s="12">
        <f t="shared" si="36"/>
        <v>2.3174788054825483E-3</v>
      </c>
      <c r="H266" s="3">
        <f t="shared" si="37"/>
        <v>-5.6162316815017736E-3</v>
      </c>
      <c r="I266" s="3">
        <f t="shared" si="38"/>
        <v>-2.087622855813407E-2</v>
      </c>
      <c r="J266" s="3">
        <f t="shared" si="39"/>
        <v>-2.8848246355641607E-2</v>
      </c>
      <c r="K266" s="14">
        <f t="shared" si="40"/>
        <v>-8.0823214201893E-3</v>
      </c>
      <c r="L266" s="9">
        <v>0.1</v>
      </c>
      <c r="M266" s="2">
        <v>0</v>
      </c>
      <c r="N266" s="2">
        <v>0.3</v>
      </c>
      <c r="O266" s="2">
        <v>0.6</v>
      </c>
      <c r="P266" s="8">
        <v>0</v>
      </c>
      <c r="Q266" s="12">
        <f t="shared" si="33"/>
        <v>1.3167690661904764E-4</v>
      </c>
      <c r="R266" s="3">
        <f t="shared" si="34"/>
        <v>1.9528708701162652E-4</v>
      </c>
      <c r="S266" s="14">
        <f t="shared" si="35"/>
        <v>1.3974515627084415E-2</v>
      </c>
    </row>
    <row r="267" spans="1:19" x14ac:dyDescent="0.35">
      <c r="A267" s="4">
        <v>43823</v>
      </c>
      <c r="B267" s="2">
        <v>50.939999</v>
      </c>
      <c r="C267" s="2">
        <v>15.314866</v>
      </c>
      <c r="D267" s="2">
        <v>33.325198999999998</v>
      </c>
      <c r="E267" s="2">
        <v>54.656109000000001</v>
      </c>
      <c r="F267" s="8">
        <v>1386.202759</v>
      </c>
      <c r="G267" s="12">
        <f t="shared" si="36"/>
        <v>-1.751360212364695E-2</v>
      </c>
      <c r="H267" s="3">
        <f t="shared" si="37"/>
        <v>1.2508091968660142E-3</v>
      </c>
      <c r="I267" s="3">
        <f t="shared" si="38"/>
        <v>-9.420249479220013E-3</v>
      </c>
      <c r="J267" s="3">
        <f t="shared" si="39"/>
        <v>1.8078295867590132E-4</v>
      </c>
      <c r="K267" s="14">
        <f t="shared" si="40"/>
        <v>7.2632632602898344E-4</v>
      </c>
      <c r="L267" s="9">
        <v>0</v>
      </c>
      <c r="M267" s="2">
        <v>0.1</v>
      </c>
      <c r="N267" s="2">
        <v>0.3</v>
      </c>
      <c r="O267" s="2">
        <v>0.6</v>
      </c>
      <c r="P267" s="8">
        <v>0</v>
      </c>
      <c r="Q267" s="12">
        <f t="shared" si="33"/>
        <v>2.3193309536846646E-4</v>
      </c>
      <c r="R267" s="3">
        <f t="shared" si="34"/>
        <v>1.9346836736295174E-4</v>
      </c>
      <c r="S267" s="14">
        <f t="shared" si="35"/>
        <v>1.3909290685112298E-2</v>
      </c>
    </row>
    <row r="268" spans="1:19" x14ac:dyDescent="0.35">
      <c r="A268" s="4">
        <v>43825</v>
      </c>
      <c r="B268" s="2">
        <v>50.599997999999999</v>
      </c>
      <c r="C268" s="2">
        <v>15.669022999999999</v>
      </c>
      <c r="D268" s="2">
        <v>33.256207000000003</v>
      </c>
      <c r="E268" s="2">
        <v>54.616615000000003</v>
      </c>
      <c r="F268" s="8">
        <v>1388.7539059999999</v>
      </c>
      <c r="G268" s="12">
        <f t="shared" si="36"/>
        <v>-6.6969131526450516E-3</v>
      </c>
      <c r="H268" s="3">
        <f t="shared" si="37"/>
        <v>2.2861715333124658E-2</v>
      </c>
      <c r="I268" s="3">
        <f t="shared" si="38"/>
        <v>-2.0724111681491757E-3</v>
      </c>
      <c r="J268" s="3">
        <f t="shared" si="39"/>
        <v>-7.2285196660207436E-4</v>
      </c>
      <c r="K268" s="14">
        <f t="shared" si="40"/>
        <v>1.8386937359556111E-3</v>
      </c>
      <c r="L268" s="9">
        <v>0</v>
      </c>
      <c r="M268" s="2">
        <v>0</v>
      </c>
      <c r="N268" s="2">
        <v>0.4</v>
      </c>
      <c r="O268" s="2">
        <v>0.6</v>
      </c>
      <c r="P268" s="8">
        <v>0</v>
      </c>
      <c r="Q268" s="12">
        <f t="shared" si="33"/>
        <v>2.7642682855103608E-4</v>
      </c>
      <c r="R268" s="3">
        <f t="shared" si="34"/>
        <v>2.2037185831803662E-4</v>
      </c>
      <c r="S268" s="14">
        <f t="shared" si="35"/>
        <v>1.4844927022994643E-2</v>
      </c>
    </row>
    <row r="269" spans="1:19" x14ac:dyDescent="0.35">
      <c r="A269" s="4">
        <v>43826</v>
      </c>
      <c r="B269" s="2">
        <v>50.41</v>
      </c>
      <c r="C269" s="2">
        <v>15.76474</v>
      </c>
      <c r="D269" s="2">
        <v>34.379855999999997</v>
      </c>
      <c r="E269" s="2">
        <v>54.932544999999998</v>
      </c>
      <c r="F269" s="8">
        <v>1380.1240230000001</v>
      </c>
      <c r="G269" s="12">
        <f t="shared" si="36"/>
        <v>-3.7619686731879599E-3</v>
      </c>
      <c r="H269" s="3">
        <f t="shared" si="37"/>
        <v>6.090094643721144E-3</v>
      </c>
      <c r="I269" s="3">
        <f t="shared" si="38"/>
        <v>3.3229385092588895E-2</v>
      </c>
      <c r="J269" s="3">
        <f t="shared" si="39"/>
        <v>5.7678374870505401E-3</v>
      </c>
      <c r="K269" s="14">
        <f t="shared" si="40"/>
        <v>-6.233507698986401E-3</v>
      </c>
      <c r="L269" s="9">
        <v>0.3</v>
      </c>
      <c r="M269" s="2">
        <v>0</v>
      </c>
      <c r="N269" s="2">
        <v>0</v>
      </c>
      <c r="O269" s="2">
        <v>0.7</v>
      </c>
      <c r="P269" s="8">
        <v>0</v>
      </c>
      <c r="Q269" s="12">
        <f t="shared" si="33"/>
        <v>-1.6002106531298643E-4</v>
      </c>
      <c r="R269" s="3">
        <f t="shared" si="34"/>
        <v>2.5561163246731354E-4</v>
      </c>
      <c r="S269" s="14">
        <f t="shared" si="35"/>
        <v>1.598785890816258E-2</v>
      </c>
    </row>
    <row r="270" spans="1:19" x14ac:dyDescent="0.35">
      <c r="A270" s="4">
        <v>43829</v>
      </c>
      <c r="B270" s="2">
        <v>49.970001000000003</v>
      </c>
      <c r="C270" s="2">
        <v>15.697737</v>
      </c>
      <c r="D270" s="2">
        <v>34.379855999999997</v>
      </c>
      <c r="E270" s="2">
        <v>53.491112000000001</v>
      </c>
      <c r="F270" s="8">
        <v>1385.5251459999999</v>
      </c>
      <c r="G270" s="12">
        <f t="shared" si="36"/>
        <v>-8.7667227264187422E-3</v>
      </c>
      <c r="H270" s="3">
        <f t="shared" si="37"/>
        <v>-4.2592387937159318E-3</v>
      </c>
      <c r="I270" s="3">
        <f t="shared" si="38"/>
        <v>0</v>
      </c>
      <c r="J270" s="3">
        <f t="shared" si="39"/>
        <v>-2.6590468716550891E-2</v>
      </c>
      <c r="K270" s="14">
        <f t="shared" si="40"/>
        <v>3.905867690723582E-3</v>
      </c>
      <c r="L270" s="9">
        <v>0.2</v>
      </c>
      <c r="M270" s="2">
        <v>0.1</v>
      </c>
      <c r="N270" s="2">
        <v>0</v>
      </c>
      <c r="O270" s="2">
        <v>0.7</v>
      </c>
      <c r="P270" s="8">
        <v>0</v>
      </c>
      <c r="Q270" s="12">
        <f t="shared" si="33"/>
        <v>-5.9764876563567654E-5</v>
      </c>
      <c r="R270" s="3">
        <f t="shared" si="34"/>
        <v>2.1190584246431264E-4</v>
      </c>
      <c r="S270" s="14">
        <f t="shared" si="35"/>
        <v>1.4556986036412641E-2</v>
      </c>
    </row>
    <row r="271" spans="1:19" x14ac:dyDescent="0.35">
      <c r="A271" s="4">
        <v>43830</v>
      </c>
      <c r="B271" s="2">
        <v>49.970001000000003</v>
      </c>
      <c r="C271" s="2">
        <v>15.697737</v>
      </c>
      <c r="D271" s="2">
        <v>34.379855999999997</v>
      </c>
      <c r="E271" s="2">
        <v>53.491112000000001</v>
      </c>
      <c r="F271" s="8">
        <v>1385.5251459999999</v>
      </c>
      <c r="G271" s="12">
        <f t="shared" si="36"/>
        <v>0</v>
      </c>
      <c r="H271" s="3">
        <f t="shared" si="37"/>
        <v>0</v>
      </c>
      <c r="I271" s="3">
        <f t="shared" si="38"/>
        <v>0</v>
      </c>
      <c r="J271" s="3">
        <f t="shared" si="39"/>
        <v>0</v>
      </c>
      <c r="K271" s="14">
        <f t="shared" si="40"/>
        <v>0</v>
      </c>
      <c r="L271" s="9">
        <v>0.1</v>
      </c>
      <c r="M271" s="2">
        <v>0.2</v>
      </c>
      <c r="N271" s="2">
        <v>0</v>
      </c>
      <c r="O271" s="2">
        <v>0.7</v>
      </c>
      <c r="P271" s="8">
        <v>0</v>
      </c>
      <c r="Q271" s="12">
        <f t="shared" si="33"/>
        <v>4.0491312185851174E-5</v>
      </c>
      <c r="R271" s="3">
        <f t="shared" si="34"/>
        <v>1.9276803254244219E-4</v>
      </c>
      <c r="S271" s="14">
        <f t="shared" si="35"/>
        <v>1.3884092787879308E-2</v>
      </c>
    </row>
    <row r="272" spans="1:19" x14ac:dyDescent="0.35">
      <c r="A272" s="4">
        <v>43832</v>
      </c>
      <c r="B272" s="2">
        <v>51.48</v>
      </c>
      <c r="C272" s="2">
        <v>15.716881000000001</v>
      </c>
      <c r="D272" s="2">
        <v>34.852974000000003</v>
      </c>
      <c r="E272" s="2">
        <v>54.419155000000003</v>
      </c>
      <c r="F272" s="8">
        <v>1382.665039</v>
      </c>
      <c r="G272" s="12">
        <f t="shared" si="36"/>
        <v>2.9770537359805064E-2</v>
      </c>
      <c r="H272" s="3">
        <f t="shared" si="37"/>
        <v>1.2187958083595496E-3</v>
      </c>
      <c r="I272" s="3">
        <f t="shared" si="38"/>
        <v>1.3667659260522637E-2</v>
      </c>
      <c r="J272" s="3">
        <f t="shared" si="39"/>
        <v>1.7200696595326831E-2</v>
      </c>
      <c r="K272" s="14">
        <f t="shared" si="40"/>
        <v>-2.066410056094673E-3</v>
      </c>
      <c r="L272" s="9">
        <v>0</v>
      </c>
      <c r="M272" s="2">
        <v>0.3</v>
      </c>
      <c r="N272" s="2">
        <v>0</v>
      </c>
      <c r="O272" s="2">
        <v>0.7</v>
      </c>
      <c r="P272" s="8">
        <v>0</v>
      </c>
      <c r="Q272" s="12">
        <f t="shared" si="33"/>
        <v>1.4074750093526998E-4</v>
      </c>
      <c r="R272" s="3">
        <f t="shared" si="34"/>
        <v>1.9819820270170225E-4</v>
      </c>
      <c r="S272" s="14">
        <f t="shared" si="35"/>
        <v>1.4078288344173885E-2</v>
      </c>
    </row>
    <row r="273" spans="1:19" x14ac:dyDescent="0.35">
      <c r="A273" s="4">
        <v>43833</v>
      </c>
      <c r="B273" s="2">
        <v>51.889999000000003</v>
      </c>
      <c r="C273" s="2">
        <v>15.755165999999999</v>
      </c>
      <c r="D273" s="2">
        <v>34.862831</v>
      </c>
      <c r="E273" s="2">
        <v>53.994621000000002</v>
      </c>
      <c r="F273" s="8">
        <v>1378.9580080000001</v>
      </c>
      <c r="G273" s="12">
        <f t="shared" si="36"/>
        <v>7.9326913801863498E-3</v>
      </c>
      <c r="H273" s="3">
        <f t="shared" si="37"/>
        <v>2.4329538453545796E-3</v>
      </c>
      <c r="I273" s="3">
        <f t="shared" si="38"/>
        <v>2.8277662620923642E-4</v>
      </c>
      <c r="J273" s="3">
        <f t="shared" si="39"/>
        <v>-7.8317753632623326E-3</v>
      </c>
      <c r="K273" s="14">
        <f t="shared" si="40"/>
        <v>-2.6846772086143874E-3</v>
      </c>
      <c r="L273" s="9">
        <v>0.2</v>
      </c>
      <c r="M273" s="2">
        <v>0</v>
      </c>
      <c r="N273" s="2">
        <v>0.1</v>
      </c>
      <c r="O273" s="2">
        <v>0.7</v>
      </c>
      <c r="P273" s="8">
        <v>0</v>
      </c>
      <c r="Q273" s="12">
        <f t="shared" si="33"/>
        <v>-1.5271143380998043E-5</v>
      </c>
      <c r="R273" s="3">
        <f t="shared" si="34"/>
        <v>2.1128261000825379E-4</v>
      </c>
      <c r="S273" s="14">
        <f t="shared" si="35"/>
        <v>1.4535563628846794E-2</v>
      </c>
    </row>
    <row r="274" spans="1:19" x14ac:dyDescent="0.35">
      <c r="A274" s="4">
        <v>43836</v>
      </c>
      <c r="B274" s="2">
        <v>51.895000000000003</v>
      </c>
      <c r="C274" s="2">
        <v>15.769526000000001</v>
      </c>
      <c r="D274" s="2">
        <v>35.015610000000002</v>
      </c>
      <c r="E274" s="2">
        <v>54.572186000000002</v>
      </c>
      <c r="F274" s="8">
        <v>1388.3154300000001</v>
      </c>
      <c r="G274" s="12">
        <f t="shared" si="36"/>
        <v>9.6372309140219152E-5</v>
      </c>
      <c r="H274" s="3">
        <f t="shared" si="37"/>
        <v>9.1103196143575498E-4</v>
      </c>
      <c r="I274" s="3">
        <f t="shared" si="38"/>
        <v>4.3727147099881045E-3</v>
      </c>
      <c r="J274" s="3">
        <f t="shared" si="39"/>
        <v>1.0639908544446075E-2</v>
      </c>
      <c r="K274" s="14">
        <f t="shared" si="40"/>
        <v>6.7629440132891917E-3</v>
      </c>
      <c r="L274" s="9">
        <v>0.1</v>
      </c>
      <c r="M274" s="2">
        <v>0.1</v>
      </c>
      <c r="N274" s="2">
        <v>0.1</v>
      </c>
      <c r="O274" s="2">
        <v>0.7</v>
      </c>
      <c r="P274" s="8">
        <v>0</v>
      </c>
      <c r="Q274" s="12">
        <f t="shared" si="33"/>
        <v>8.4985045368420758E-5</v>
      </c>
      <c r="R274" s="3">
        <f t="shared" si="34"/>
        <v>1.8785110812919245E-4</v>
      </c>
      <c r="S274" s="14">
        <f t="shared" si="35"/>
        <v>1.3705878597492116E-2</v>
      </c>
    </row>
    <row r="275" spans="1:19" x14ac:dyDescent="0.35">
      <c r="A275" s="4">
        <v>43837</v>
      </c>
      <c r="B275" s="2">
        <v>51.869999</v>
      </c>
      <c r="C275" s="2">
        <v>15.439298000000001</v>
      </c>
      <c r="D275" s="2">
        <v>34.547417000000003</v>
      </c>
      <c r="E275" s="2">
        <v>54.280937000000002</v>
      </c>
      <c r="F275" s="8">
        <v>1395.6697999999999</v>
      </c>
      <c r="G275" s="12">
        <f t="shared" si="36"/>
        <v>-4.8187733291038916E-4</v>
      </c>
      <c r="H275" s="3">
        <f t="shared" si="37"/>
        <v>-2.1163266211075352E-2</v>
      </c>
      <c r="I275" s="3">
        <f t="shared" si="38"/>
        <v>-1.3461175857685527E-2</v>
      </c>
      <c r="J275" s="3">
        <f t="shared" si="39"/>
        <v>-5.3512418750127928E-3</v>
      </c>
      <c r="K275" s="14">
        <f t="shared" si="40"/>
        <v>5.2833521012362094E-3</v>
      </c>
      <c r="L275" s="9">
        <v>0</v>
      </c>
      <c r="M275" s="2">
        <v>0.2</v>
      </c>
      <c r="N275" s="2">
        <v>0.1</v>
      </c>
      <c r="O275" s="2">
        <v>0.7</v>
      </c>
      <c r="P275" s="8">
        <v>0</v>
      </c>
      <c r="Q275" s="12">
        <f t="shared" si="33"/>
        <v>1.8524123411783959E-4</v>
      </c>
      <c r="R275" s="3">
        <f t="shared" si="34"/>
        <v>1.8898758633126164E-4</v>
      </c>
      <c r="S275" s="14">
        <f t="shared" si="35"/>
        <v>1.3747275596686846E-2</v>
      </c>
    </row>
    <row r="276" spans="1:19" x14ac:dyDescent="0.35">
      <c r="A276" s="4">
        <v>43838</v>
      </c>
      <c r="B276" s="2">
        <v>51.599997999999999</v>
      </c>
      <c r="C276" s="2">
        <v>15.401012</v>
      </c>
      <c r="D276" s="2">
        <v>34.517848999999998</v>
      </c>
      <c r="E276" s="2">
        <v>55.001655999999997</v>
      </c>
      <c r="F276" s="8">
        <v>1392.8198239999999</v>
      </c>
      <c r="G276" s="12">
        <f t="shared" si="36"/>
        <v>-5.218935356515614E-3</v>
      </c>
      <c r="H276" s="3">
        <f t="shared" si="37"/>
        <v>-2.4828556955534316E-3</v>
      </c>
      <c r="I276" s="3">
        <f t="shared" si="38"/>
        <v>-8.5623363287853861E-4</v>
      </c>
      <c r="J276" s="3">
        <f t="shared" si="39"/>
        <v>1.319019670902986E-2</v>
      </c>
      <c r="K276" s="14">
        <f t="shared" si="40"/>
        <v>-2.0441008406989103E-3</v>
      </c>
      <c r="L276" s="9">
        <v>0.1</v>
      </c>
      <c r="M276" s="2">
        <v>0</v>
      </c>
      <c r="N276" s="2">
        <v>0.2</v>
      </c>
      <c r="O276" s="2">
        <v>0.7</v>
      </c>
      <c r="P276" s="8">
        <v>0</v>
      </c>
      <c r="Q276" s="12">
        <f t="shared" si="33"/>
        <v>1.294787785509904E-4</v>
      </c>
      <c r="R276" s="3">
        <f t="shared" si="34"/>
        <v>1.9713271768588355E-4</v>
      </c>
      <c r="S276" s="14">
        <f t="shared" si="35"/>
        <v>1.4040395923402001E-2</v>
      </c>
    </row>
    <row r="277" spans="1:19" x14ac:dyDescent="0.35">
      <c r="A277" s="4">
        <v>43839</v>
      </c>
      <c r="B277" s="2">
        <v>51.555</v>
      </c>
      <c r="C277" s="2">
        <v>15.353154</v>
      </c>
      <c r="D277" s="2">
        <v>35.316237999999998</v>
      </c>
      <c r="E277" s="2">
        <v>54.863433999999998</v>
      </c>
      <c r="F277" s="8">
        <v>1385.1663820000001</v>
      </c>
      <c r="G277" s="12">
        <f t="shared" si="36"/>
        <v>-8.7243475791950846E-4</v>
      </c>
      <c r="H277" s="3">
        <f t="shared" si="37"/>
        <v>-3.1122963068434305E-3</v>
      </c>
      <c r="I277" s="3">
        <f t="shared" si="38"/>
        <v>2.2866305601273264E-2</v>
      </c>
      <c r="J277" s="3">
        <f t="shared" si="39"/>
        <v>-2.5162146215414916E-3</v>
      </c>
      <c r="K277" s="14">
        <f t="shared" si="40"/>
        <v>-5.5100787378175231E-3</v>
      </c>
      <c r="L277" s="9">
        <v>0</v>
      </c>
      <c r="M277" s="2">
        <v>0.1</v>
      </c>
      <c r="N277" s="2">
        <v>0.2</v>
      </c>
      <c r="O277" s="2">
        <v>0.7</v>
      </c>
      <c r="P277" s="8">
        <v>0</v>
      </c>
      <c r="Q277" s="12">
        <f t="shared" si="33"/>
        <v>2.297349673004092E-4</v>
      </c>
      <c r="R277" s="3">
        <f t="shared" si="34"/>
        <v>1.9397550393076182E-4</v>
      </c>
      <c r="S277" s="14">
        <f t="shared" si="35"/>
        <v>1.3927508891785416E-2</v>
      </c>
    </row>
    <row r="278" spans="1:19" x14ac:dyDescent="0.35">
      <c r="A278" s="4">
        <v>43840</v>
      </c>
      <c r="B278" s="2">
        <v>50.68</v>
      </c>
      <c r="C278" s="2">
        <v>15.410583000000001</v>
      </c>
      <c r="D278" s="2">
        <v>35.178241999999997</v>
      </c>
      <c r="E278" s="2">
        <v>55.455803000000003</v>
      </c>
      <c r="F278" s="8">
        <v>1383.302856</v>
      </c>
      <c r="G278" s="12">
        <f t="shared" si="36"/>
        <v>-1.7117843516968569E-2</v>
      </c>
      <c r="H278" s="3">
        <f t="shared" si="37"/>
        <v>3.733555953274478E-3</v>
      </c>
      <c r="I278" s="3">
        <f t="shared" si="38"/>
        <v>-3.9150916856523074E-3</v>
      </c>
      <c r="J278" s="3">
        <f t="shared" si="39"/>
        <v>1.0739281912477505E-2</v>
      </c>
      <c r="K278" s="14">
        <f t="shared" si="40"/>
        <v>-1.3462503074799417E-3</v>
      </c>
      <c r="L278" s="9">
        <v>0</v>
      </c>
      <c r="M278" s="2">
        <v>0</v>
      </c>
      <c r="N278" s="2">
        <v>0.3</v>
      </c>
      <c r="O278" s="2">
        <v>0.7</v>
      </c>
      <c r="P278" s="8">
        <v>0</v>
      </c>
      <c r="Q278" s="12">
        <f t="shared" si="33"/>
        <v>2.7422870048297881E-4</v>
      </c>
      <c r="R278" s="3">
        <f t="shared" si="34"/>
        <v>2.1316195550020285E-4</v>
      </c>
      <c r="S278" s="14">
        <f t="shared" si="35"/>
        <v>1.4600066969031439E-2</v>
      </c>
    </row>
    <row r="279" spans="1:19" x14ac:dyDescent="0.35">
      <c r="A279" s="4">
        <v>43843</v>
      </c>
      <c r="B279" s="2">
        <v>49.540000999999997</v>
      </c>
      <c r="C279" s="2">
        <v>15.745596000000001</v>
      </c>
      <c r="D279" s="2">
        <v>35.276809999999998</v>
      </c>
      <c r="E279" s="2">
        <v>55.909962</v>
      </c>
      <c r="F279" s="8">
        <v>1382.0273440000001</v>
      </c>
      <c r="G279" s="12">
        <f t="shared" si="36"/>
        <v>-2.2750911206016532E-2</v>
      </c>
      <c r="H279" s="3">
        <f t="shared" si="37"/>
        <v>2.1506225930688305E-2</v>
      </c>
      <c r="I279" s="3">
        <f t="shared" si="38"/>
        <v>2.7980410633342881E-3</v>
      </c>
      <c r="J279" s="3">
        <f t="shared" si="39"/>
        <v>8.1562142135313143E-3</v>
      </c>
      <c r="K279" s="14">
        <f t="shared" si="40"/>
        <v>-9.2250255716745601E-4</v>
      </c>
      <c r="L279" s="9">
        <v>0.2</v>
      </c>
      <c r="M279" s="2">
        <v>0</v>
      </c>
      <c r="N279" s="2">
        <v>0</v>
      </c>
      <c r="O279" s="2">
        <v>0.8</v>
      </c>
      <c r="P279" s="8">
        <v>0</v>
      </c>
      <c r="Q279" s="12">
        <f t="shared" si="33"/>
        <v>-1.7469271449055228E-5</v>
      </c>
      <c r="R279" s="3">
        <f t="shared" si="34"/>
        <v>2.3389365848624688E-4</v>
      </c>
      <c r="S279" s="14">
        <f t="shared" si="35"/>
        <v>1.5293582264670593E-2</v>
      </c>
    </row>
    <row r="280" spans="1:19" x14ac:dyDescent="0.35">
      <c r="A280" s="4">
        <v>43844</v>
      </c>
      <c r="B280" s="2">
        <v>49.880001</v>
      </c>
      <c r="C280" s="2">
        <v>15.774312</v>
      </c>
      <c r="D280" s="2">
        <v>35.06982</v>
      </c>
      <c r="E280" s="2">
        <v>55.959324000000002</v>
      </c>
      <c r="F280" s="8">
        <v>1392.9194339999999</v>
      </c>
      <c r="G280" s="12">
        <f t="shared" si="36"/>
        <v>6.8396966130292829E-3</v>
      </c>
      <c r="H280" s="3">
        <f t="shared" si="37"/>
        <v>1.8220870406576396E-3</v>
      </c>
      <c r="I280" s="3">
        <f t="shared" si="38"/>
        <v>-5.8848760024111796E-3</v>
      </c>
      <c r="J280" s="3">
        <f t="shared" si="39"/>
        <v>8.8249429255461557E-4</v>
      </c>
      <c r="K280" s="14">
        <f t="shared" si="40"/>
        <v>7.8503458332073242E-3</v>
      </c>
      <c r="L280" s="9">
        <v>0.1</v>
      </c>
      <c r="M280" s="2">
        <v>0.1</v>
      </c>
      <c r="N280" s="2">
        <v>0</v>
      </c>
      <c r="O280" s="2">
        <v>0.8</v>
      </c>
      <c r="P280" s="8">
        <v>0</v>
      </c>
      <c r="Q280" s="12">
        <f t="shared" si="33"/>
        <v>8.2786917300363573E-5</v>
      </c>
      <c r="R280" s="3">
        <f t="shared" si="34"/>
        <v>2.0912366250073862E-4</v>
      </c>
      <c r="S280" s="14">
        <f t="shared" si="35"/>
        <v>1.4461108619353449E-2</v>
      </c>
    </row>
    <row r="281" spans="1:19" x14ac:dyDescent="0.35">
      <c r="A281" s="4">
        <v>43845</v>
      </c>
      <c r="B281" s="2">
        <v>50.369999</v>
      </c>
      <c r="C281" s="2">
        <v>15.487158000000001</v>
      </c>
      <c r="D281" s="2">
        <v>34.478423999999997</v>
      </c>
      <c r="E281" s="2">
        <v>55.751995000000001</v>
      </c>
      <c r="F281" s="8">
        <v>1389.8599850000001</v>
      </c>
      <c r="G281" s="12">
        <f t="shared" si="36"/>
        <v>9.7755990445207459E-3</v>
      </c>
      <c r="H281" s="3">
        <f t="shared" si="37"/>
        <v>-1.8371629776998296E-2</v>
      </c>
      <c r="I281" s="3">
        <f t="shared" si="38"/>
        <v>-1.7007194452703097E-2</v>
      </c>
      <c r="J281" s="3">
        <f t="shared" si="39"/>
        <v>-3.7118752137999295E-3</v>
      </c>
      <c r="K281" s="14">
        <f t="shared" si="40"/>
        <v>-2.1988449474601994E-3</v>
      </c>
      <c r="L281" s="9">
        <v>0</v>
      </c>
      <c r="M281" s="2">
        <v>0.2</v>
      </c>
      <c r="N281" s="2">
        <v>0</v>
      </c>
      <c r="O281" s="2">
        <v>0.8</v>
      </c>
      <c r="P281" s="8">
        <v>0</v>
      </c>
      <c r="Q281" s="12">
        <f t="shared" si="33"/>
        <v>1.830431060497824E-4</v>
      </c>
      <c r="R281" s="3">
        <f t="shared" si="34"/>
        <v>2.0892164659636083E-4</v>
      </c>
      <c r="S281" s="14">
        <f t="shared" si="35"/>
        <v>1.4454122131639846E-2</v>
      </c>
    </row>
    <row r="282" spans="1:19" x14ac:dyDescent="0.35">
      <c r="A282" s="4">
        <v>43846</v>
      </c>
      <c r="B282" s="2">
        <v>49.830002</v>
      </c>
      <c r="C282" s="2">
        <v>15.582875</v>
      </c>
      <c r="D282" s="2">
        <v>34.793835000000001</v>
      </c>
      <c r="E282" s="2">
        <v>56.620800000000003</v>
      </c>
      <c r="F282" s="8">
        <v>1394.892578</v>
      </c>
      <c r="G282" s="12">
        <f t="shared" si="36"/>
        <v>-1.0778487474695416E-2</v>
      </c>
      <c r="H282" s="3">
        <f t="shared" si="37"/>
        <v>6.1613904823584822E-3</v>
      </c>
      <c r="I282" s="3">
        <f t="shared" si="38"/>
        <v>9.106478819930805E-3</v>
      </c>
      <c r="J282" s="3">
        <f t="shared" si="39"/>
        <v>1.5463214413542734E-2</v>
      </c>
      <c r="K282" s="14">
        <f t="shared" si="40"/>
        <v>3.6143954372249276E-3</v>
      </c>
      <c r="L282" s="9">
        <v>0.1</v>
      </c>
      <c r="M282" s="2">
        <v>0</v>
      </c>
      <c r="N282" s="2">
        <v>0.1</v>
      </c>
      <c r="O282" s="2">
        <v>0.8</v>
      </c>
      <c r="P282" s="8">
        <v>0</v>
      </c>
      <c r="Q282" s="12">
        <f t="shared" si="33"/>
        <v>1.2728065048293321E-4</v>
      </c>
      <c r="R282" s="3">
        <f t="shared" si="34"/>
        <v>2.1068823267178586E-4</v>
      </c>
      <c r="S282" s="14">
        <f t="shared" si="35"/>
        <v>1.4515103605272195E-2</v>
      </c>
    </row>
    <row r="283" spans="1:19" x14ac:dyDescent="0.35">
      <c r="A283" s="4">
        <v>43847</v>
      </c>
      <c r="B283" s="2">
        <v>49.419998</v>
      </c>
      <c r="C283" s="2">
        <v>15.707307999999999</v>
      </c>
      <c r="D283" s="2">
        <v>35.178241999999997</v>
      </c>
      <c r="E283" s="2">
        <v>57.381008000000001</v>
      </c>
      <c r="F283" s="8">
        <v>1394.9423830000001</v>
      </c>
      <c r="G283" s="12">
        <f t="shared" si="36"/>
        <v>-8.2620923387587107E-3</v>
      </c>
      <c r="H283" s="3">
        <f t="shared" si="37"/>
        <v>7.9535268907814562E-3</v>
      </c>
      <c r="I283" s="3">
        <f t="shared" si="38"/>
        <v>1.098755057184916E-2</v>
      </c>
      <c r="J283" s="3">
        <f t="shared" si="39"/>
        <v>1.3336968628593342E-2</v>
      </c>
      <c r="K283" s="14">
        <f t="shared" si="40"/>
        <v>3.5704621027195004E-5</v>
      </c>
      <c r="L283" s="9">
        <v>0</v>
      </c>
      <c r="M283" s="2">
        <v>0.1</v>
      </c>
      <c r="N283" s="2">
        <v>0.1</v>
      </c>
      <c r="O283" s="2">
        <v>0.8</v>
      </c>
      <c r="P283" s="8">
        <v>0</v>
      </c>
      <c r="Q283" s="12">
        <f t="shared" si="33"/>
        <v>2.2753683923235201E-4</v>
      </c>
      <c r="R283" s="3">
        <f t="shared" si="34"/>
        <v>2.0619252481021716E-4</v>
      </c>
      <c r="S283" s="14">
        <f t="shared" si="35"/>
        <v>1.4359405447657543E-2</v>
      </c>
    </row>
    <row r="284" spans="1:19" x14ac:dyDescent="0.35">
      <c r="A284" s="4">
        <v>43850</v>
      </c>
      <c r="B284" s="2">
        <v>49.369999</v>
      </c>
      <c r="C284" s="2">
        <v>15.783882999999999</v>
      </c>
      <c r="D284" s="2">
        <v>35.523223999999999</v>
      </c>
      <c r="E284" s="2">
        <v>57.479743999999997</v>
      </c>
      <c r="F284" s="8">
        <v>1394.7032469999999</v>
      </c>
      <c r="G284" s="12">
        <f t="shared" si="36"/>
        <v>-1.0122280754620366E-3</v>
      </c>
      <c r="H284" s="3">
        <f t="shared" si="37"/>
        <v>4.8632743630226795E-3</v>
      </c>
      <c r="I284" s="3">
        <f t="shared" si="38"/>
        <v>9.7589132847392401E-3</v>
      </c>
      <c r="J284" s="3">
        <f t="shared" si="39"/>
        <v>1.7192299824036641E-3</v>
      </c>
      <c r="K284" s="14">
        <f t="shared" si="40"/>
        <v>-1.7144543236194119E-4</v>
      </c>
      <c r="L284" s="9">
        <v>0</v>
      </c>
      <c r="M284" s="2">
        <v>0</v>
      </c>
      <c r="N284" s="2">
        <v>0.2</v>
      </c>
      <c r="O284" s="2">
        <v>0.8</v>
      </c>
      <c r="P284" s="8">
        <v>0</v>
      </c>
      <c r="Q284" s="12">
        <f t="shared" si="33"/>
        <v>2.7203057241492165E-4</v>
      </c>
      <c r="R284" s="3">
        <f t="shared" si="34"/>
        <v>2.1766193699401435E-4</v>
      </c>
      <c r="S284" s="14">
        <f t="shared" si="35"/>
        <v>1.4753370360497779E-2</v>
      </c>
    </row>
    <row r="285" spans="1:19" x14ac:dyDescent="0.35">
      <c r="A285" s="4">
        <v>43851</v>
      </c>
      <c r="B285" s="2">
        <v>48.27</v>
      </c>
      <c r="C285" s="2">
        <v>15.803025999999999</v>
      </c>
      <c r="D285" s="2">
        <v>35.306376999999998</v>
      </c>
      <c r="E285" s="2">
        <v>57.420501999999999</v>
      </c>
      <c r="F285" s="8">
        <v>1392.0424800000001</v>
      </c>
      <c r="G285" s="12">
        <f t="shared" si="36"/>
        <v>-2.2532682343153979E-2</v>
      </c>
      <c r="H285" s="3">
        <f t="shared" si="37"/>
        <v>1.2120845596927635E-3</v>
      </c>
      <c r="I285" s="3">
        <f t="shared" si="38"/>
        <v>-6.1230805889752526E-3</v>
      </c>
      <c r="J285" s="3">
        <f t="shared" si="39"/>
        <v>-1.0311902247727594E-3</v>
      </c>
      <c r="K285" s="14">
        <f t="shared" si="40"/>
        <v>-1.909587791068712E-3</v>
      </c>
      <c r="L285" s="9">
        <v>0.1</v>
      </c>
      <c r="M285" s="2">
        <v>0</v>
      </c>
      <c r="N285" s="2">
        <v>0</v>
      </c>
      <c r="O285" s="2">
        <v>0.9</v>
      </c>
      <c r="P285" s="8">
        <v>0</v>
      </c>
      <c r="Q285" s="12">
        <f t="shared" si="33"/>
        <v>1.2508252241487595E-4</v>
      </c>
      <c r="R285" s="3">
        <f t="shared" si="34"/>
        <v>2.3595363196933329E-4</v>
      </c>
      <c r="S285" s="14">
        <f t="shared" si="35"/>
        <v>1.5360782270748235E-2</v>
      </c>
    </row>
    <row r="286" spans="1:19" x14ac:dyDescent="0.35">
      <c r="A286" s="4">
        <v>43852</v>
      </c>
      <c r="B286" s="2">
        <v>47.310001</v>
      </c>
      <c r="C286" s="2">
        <v>16.051894999999998</v>
      </c>
      <c r="D286" s="2">
        <v>34.310862999999998</v>
      </c>
      <c r="E286" s="2">
        <v>55.890213000000003</v>
      </c>
      <c r="F286" s="8">
        <v>1394.204956</v>
      </c>
      <c r="G286" s="12">
        <f t="shared" si="36"/>
        <v>-2.0088538892164866E-2</v>
      </c>
      <c r="H286" s="3">
        <f t="shared" si="37"/>
        <v>1.5625470459466415E-2</v>
      </c>
      <c r="I286" s="3">
        <f t="shared" si="38"/>
        <v>-2.860158961115717E-2</v>
      </c>
      <c r="J286" s="3">
        <f t="shared" si="39"/>
        <v>-2.7012132921320379E-2</v>
      </c>
      <c r="K286" s="14">
        <f t="shared" si="40"/>
        <v>1.5522501026026694E-3</v>
      </c>
      <c r="L286" s="9">
        <v>0</v>
      </c>
      <c r="M286" s="2">
        <v>0.1</v>
      </c>
      <c r="N286" s="2">
        <v>0</v>
      </c>
      <c r="O286" s="2">
        <v>0.9</v>
      </c>
      <c r="P286" s="8">
        <v>0</v>
      </c>
      <c r="Q286" s="12">
        <f t="shared" si="33"/>
        <v>2.2533871116429477E-4</v>
      </c>
      <c r="R286" s="3">
        <f t="shared" si="34"/>
        <v>2.3011943000131766E-4</v>
      </c>
      <c r="S286" s="14">
        <f t="shared" si="35"/>
        <v>1.5169687867629896E-2</v>
      </c>
    </row>
    <row r="287" spans="1:19" x14ac:dyDescent="0.35">
      <c r="A287" s="4">
        <v>43853</v>
      </c>
      <c r="B287" s="2">
        <v>45.57</v>
      </c>
      <c r="C287" s="2">
        <v>16.444337999999998</v>
      </c>
      <c r="D287" s="2">
        <v>34.034874000000002</v>
      </c>
      <c r="E287" s="2">
        <v>56.403602999999997</v>
      </c>
      <c r="F287" s="8">
        <v>1389.232178</v>
      </c>
      <c r="G287" s="12">
        <f t="shared" si="36"/>
        <v>-3.7472105504445644E-2</v>
      </c>
      <c r="H287" s="3">
        <f t="shared" si="37"/>
        <v>2.4154312291663524E-2</v>
      </c>
      <c r="I287" s="3">
        <f t="shared" si="38"/>
        <v>-8.076304748974715E-3</v>
      </c>
      <c r="J287" s="3">
        <f t="shared" si="39"/>
        <v>9.1437551105270319E-3</v>
      </c>
      <c r="K287" s="14">
        <f t="shared" si="40"/>
        <v>-3.5731241995495583E-3</v>
      </c>
      <c r="L287" s="9">
        <v>0</v>
      </c>
      <c r="M287" s="2">
        <v>0</v>
      </c>
      <c r="N287" s="2">
        <v>0.1</v>
      </c>
      <c r="O287" s="2">
        <v>0.9</v>
      </c>
      <c r="P287" s="8">
        <v>0</v>
      </c>
      <c r="Q287" s="12">
        <f t="shared" si="33"/>
        <v>2.6983244434686439E-4</v>
      </c>
      <c r="R287" s="3">
        <f t="shared" si="34"/>
        <v>2.3387180279947097E-4</v>
      </c>
      <c r="S287" s="14">
        <f t="shared" si="35"/>
        <v>1.5292867710127849E-2</v>
      </c>
    </row>
    <row r="288" spans="1:19" x14ac:dyDescent="0.35">
      <c r="A288" s="4">
        <v>43854</v>
      </c>
      <c r="B288" s="2">
        <v>45.459999000000003</v>
      </c>
      <c r="C288" s="2">
        <v>16.607057999999999</v>
      </c>
      <c r="D288" s="2">
        <v>33.019646000000002</v>
      </c>
      <c r="E288" s="2">
        <v>56.117286999999997</v>
      </c>
      <c r="F288" s="8">
        <v>1398.031616</v>
      </c>
      <c r="G288" s="12">
        <f t="shared" si="36"/>
        <v>-2.4168088487544872E-3</v>
      </c>
      <c r="H288" s="3">
        <f t="shared" si="37"/>
        <v>9.846562287705583E-3</v>
      </c>
      <c r="I288" s="3">
        <f t="shared" si="38"/>
        <v>-3.0282987162438622E-2</v>
      </c>
      <c r="J288" s="3">
        <f t="shared" si="39"/>
        <v>-5.089128213376707E-3</v>
      </c>
      <c r="K288" s="14">
        <f t="shared" si="40"/>
        <v>6.3140541294015185E-3</v>
      </c>
      <c r="L288" s="9">
        <v>0</v>
      </c>
      <c r="M288" s="2">
        <v>0</v>
      </c>
      <c r="N288" s="2">
        <v>0</v>
      </c>
      <c r="O288" s="2">
        <v>1</v>
      </c>
      <c r="P288" s="8">
        <v>0</v>
      </c>
      <c r="Q288" s="12">
        <f t="shared" si="33"/>
        <v>2.6763431627880717E-4</v>
      </c>
      <c r="R288" s="3">
        <f t="shared" si="34"/>
        <v>2.6179155291657281E-4</v>
      </c>
      <c r="S288" s="14">
        <f t="shared" si="35"/>
        <v>1.6179973823111482E-2</v>
      </c>
    </row>
    <row r="289" spans="1:19" x14ac:dyDescent="0.35">
      <c r="A289" s="4">
        <v>43857</v>
      </c>
      <c r="B289" s="2">
        <v>44.900002000000001</v>
      </c>
      <c r="C289" s="2">
        <v>16.252901000000001</v>
      </c>
      <c r="D289" s="2">
        <v>32.255755999999998</v>
      </c>
      <c r="E289" s="2">
        <v>54.192081000000002</v>
      </c>
      <c r="F289" s="8">
        <v>1392.4510499999999</v>
      </c>
      <c r="G289" s="12">
        <f t="shared" si="36"/>
        <v>-1.2394957135399195E-2</v>
      </c>
      <c r="H289" s="3">
        <f t="shared" si="37"/>
        <v>-2.1556369802357041E-2</v>
      </c>
      <c r="I289" s="3">
        <f t="shared" si="38"/>
        <v>-2.3406209723060848E-2</v>
      </c>
      <c r="J289" s="3">
        <f t="shared" si="39"/>
        <v>-3.4909120469067877E-2</v>
      </c>
      <c r="K289" s="14">
        <f t="shared" si="40"/>
        <v>-3.9997191222171415E-3</v>
      </c>
      <c r="L289" s="9">
        <v>0.9</v>
      </c>
      <c r="M289" s="2">
        <v>0</v>
      </c>
      <c r="N289" s="2">
        <v>0</v>
      </c>
      <c r="O289" s="2">
        <v>0</v>
      </c>
      <c r="P289" s="8">
        <v>0.1</v>
      </c>
      <c r="Q289" s="12">
        <f t="shared" si="33"/>
        <v>-9.6749023265574861E-4</v>
      </c>
      <c r="R289" s="3">
        <f t="shared" si="34"/>
        <v>8.6699091966485403E-4</v>
      </c>
      <c r="S289" s="14">
        <f t="shared" si="35"/>
        <v>2.9444709536092455E-2</v>
      </c>
    </row>
    <row r="290" spans="1:19" x14ac:dyDescent="0.35">
      <c r="A290" s="4">
        <v>43858</v>
      </c>
      <c r="B290" s="2">
        <v>45.119999</v>
      </c>
      <c r="C290" s="2">
        <v>16.731490999999998</v>
      </c>
      <c r="D290" s="2">
        <v>33.384338</v>
      </c>
      <c r="E290" s="2">
        <v>55.228729000000001</v>
      </c>
      <c r="F290" s="8">
        <v>1389.2620850000001</v>
      </c>
      <c r="G290" s="12">
        <f t="shared" si="36"/>
        <v>4.8877457350451937E-3</v>
      </c>
      <c r="H290" s="3">
        <f t="shared" si="37"/>
        <v>2.9021216447252595E-2</v>
      </c>
      <c r="I290" s="3">
        <f t="shared" si="38"/>
        <v>3.4390359912424347E-2</v>
      </c>
      <c r="J290" s="3">
        <f t="shared" si="39"/>
        <v>1.8948480033102736E-2</v>
      </c>
      <c r="K290" s="14">
        <f t="shared" si="40"/>
        <v>-2.2928075198690228E-3</v>
      </c>
      <c r="L290" s="9">
        <v>0.8</v>
      </c>
      <c r="M290" s="2">
        <v>0.1</v>
      </c>
      <c r="N290" s="2">
        <v>0</v>
      </c>
      <c r="O290" s="2">
        <v>0</v>
      </c>
      <c r="P290" s="8">
        <v>0.1</v>
      </c>
      <c r="Q290" s="12">
        <f t="shared" si="33"/>
        <v>-8.6723404390632989E-4</v>
      </c>
      <c r="R290" s="3">
        <f t="shared" si="34"/>
        <v>7.1021268870125097E-4</v>
      </c>
      <c r="S290" s="14">
        <f t="shared" si="35"/>
        <v>2.6649815922464661E-2</v>
      </c>
    </row>
    <row r="291" spans="1:19" x14ac:dyDescent="0.35">
      <c r="A291" s="4">
        <v>43859</v>
      </c>
      <c r="B291" s="2">
        <v>45.82</v>
      </c>
      <c r="C291" s="2">
        <v>16.425194000000001</v>
      </c>
      <c r="D291" s="2">
        <v>33.394196000000001</v>
      </c>
      <c r="E291" s="2">
        <v>55.287967999999999</v>
      </c>
      <c r="F291" s="8">
        <v>1388.165894</v>
      </c>
      <c r="G291" s="12">
        <f t="shared" si="36"/>
        <v>1.5395091998666862E-2</v>
      </c>
      <c r="H291" s="3">
        <f t="shared" si="37"/>
        <v>-1.8476256802334036E-2</v>
      </c>
      <c r="I291" s="3">
        <f t="shared" si="38"/>
        <v>2.9524457879256927E-4</v>
      </c>
      <c r="J291" s="3">
        <f t="shared" si="39"/>
        <v>1.0720372085213589E-3</v>
      </c>
      <c r="K291" s="14">
        <f t="shared" si="40"/>
        <v>-7.8935696277752151E-4</v>
      </c>
      <c r="L291" s="9">
        <v>0.7</v>
      </c>
      <c r="M291" s="2">
        <v>0.2</v>
      </c>
      <c r="N291" s="2">
        <v>0</v>
      </c>
      <c r="O291" s="2">
        <v>0</v>
      </c>
      <c r="P291" s="8">
        <v>0.1</v>
      </c>
      <c r="Q291" s="12">
        <f t="shared" si="33"/>
        <v>-7.6697785515691095E-4</v>
      </c>
      <c r="R291" s="3">
        <f t="shared" si="34"/>
        <v>5.7800243781877796E-4</v>
      </c>
      <c r="S291" s="14">
        <f t="shared" si="35"/>
        <v>2.4041681260235898E-2</v>
      </c>
    </row>
    <row r="292" spans="1:19" x14ac:dyDescent="0.35">
      <c r="A292" s="4">
        <v>43860</v>
      </c>
      <c r="B292" s="2">
        <v>45.75</v>
      </c>
      <c r="C292" s="2">
        <v>16.396478999999999</v>
      </c>
      <c r="D292" s="2">
        <v>33.561756000000003</v>
      </c>
      <c r="E292" s="2">
        <v>55.416316999999999</v>
      </c>
      <c r="F292" s="8">
        <v>1397.1347659999999</v>
      </c>
      <c r="G292" s="12">
        <f t="shared" si="36"/>
        <v>-1.5288853038191305E-3</v>
      </c>
      <c r="H292" s="3">
        <f t="shared" si="37"/>
        <v>-1.7497589063354788E-3</v>
      </c>
      <c r="I292" s="3">
        <f t="shared" si="38"/>
        <v>5.0050919982308571E-3</v>
      </c>
      <c r="J292" s="3">
        <f t="shared" si="39"/>
        <v>2.3187730720255839E-3</v>
      </c>
      <c r="K292" s="14">
        <f t="shared" si="40"/>
        <v>6.4401686525428813E-3</v>
      </c>
      <c r="L292" s="9">
        <v>0.6</v>
      </c>
      <c r="M292" s="2">
        <v>0.3</v>
      </c>
      <c r="N292" s="2">
        <v>0</v>
      </c>
      <c r="O292" s="2">
        <v>0</v>
      </c>
      <c r="P292" s="8">
        <v>0.1</v>
      </c>
      <c r="Q292" s="12">
        <f t="shared" si="33"/>
        <v>-6.6672166640749213E-4</v>
      </c>
      <c r="R292" s="3">
        <f t="shared" si="34"/>
        <v>4.7036016701743581E-4</v>
      </c>
      <c r="S292" s="14">
        <f t="shared" si="35"/>
        <v>2.1687788430760656E-2</v>
      </c>
    </row>
    <row r="293" spans="1:19" x14ac:dyDescent="0.35">
      <c r="A293" s="4">
        <v>43861</v>
      </c>
      <c r="B293" s="2">
        <v>45.825001</v>
      </c>
      <c r="C293" s="2">
        <v>16.205044000000001</v>
      </c>
      <c r="D293" s="2">
        <v>33.320270999999998</v>
      </c>
      <c r="E293" s="2">
        <v>54.517887000000002</v>
      </c>
      <c r="F293" s="8">
        <v>1377.951538</v>
      </c>
      <c r="G293" s="12">
        <f t="shared" si="36"/>
        <v>1.6380238263875874E-3</v>
      </c>
      <c r="H293" s="3">
        <f t="shared" si="37"/>
        <v>-1.1744064856725392E-2</v>
      </c>
      <c r="I293" s="3">
        <f t="shared" si="38"/>
        <v>-7.2212539067448376E-3</v>
      </c>
      <c r="J293" s="3">
        <f t="shared" si="39"/>
        <v>-1.6345231415891025E-2</v>
      </c>
      <c r="K293" s="14">
        <f t="shared" si="40"/>
        <v>-1.3825540154995869E-2</v>
      </c>
      <c r="L293" s="9">
        <v>0.5</v>
      </c>
      <c r="M293" s="2">
        <v>0.4</v>
      </c>
      <c r="N293" s="2">
        <v>0</v>
      </c>
      <c r="O293" s="2">
        <v>0</v>
      </c>
      <c r="P293" s="8">
        <v>0.1</v>
      </c>
      <c r="Q293" s="12">
        <f t="shared" si="33"/>
        <v>-5.6646547765807341E-4</v>
      </c>
      <c r="R293" s="3">
        <f t="shared" si="34"/>
        <v>3.8728587629722414E-4</v>
      </c>
      <c r="S293" s="14">
        <f t="shared" si="35"/>
        <v>1.9679580186000516E-2</v>
      </c>
    </row>
    <row r="294" spans="1:19" x14ac:dyDescent="0.35">
      <c r="A294" s="4">
        <v>43865</v>
      </c>
      <c r="B294" s="2">
        <v>45.849997999999999</v>
      </c>
      <c r="C294" s="2">
        <v>16.372548999999999</v>
      </c>
      <c r="D294" s="2">
        <v>33.793388</v>
      </c>
      <c r="E294" s="2">
        <v>55.905022000000002</v>
      </c>
      <c r="F294" s="8">
        <v>1375.360596</v>
      </c>
      <c r="G294" s="12">
        <f t="shared" si="36"/>
        <v>5.4533953405321587E-4</v>
      </c>
      <c r="H294" s="3">
        <f t="shared" si="37"/>
        <v>1.0283539127745796E-2</v>
      </c>
      <c r="I294" s="3">
        <f t="shared" si="38"/>
        <v>1.4099211531987035E-2</v>
      </c>
      <c r="J294" s="3">
        <f t="shared" si="39"/>
        <v>2.5125365466363573E-2</v>
      </c>
      <c r="K294" s="14">
        <f t="shared" si="40"/>
        <v>-1.8820552401547922E-3</v>
      </c>
      <c r="L294" s="9">
        <v>0.4</v>
      </c>
      <c r="M294" s="2">
        <v>0.5</v>
      </c>
      <c r="N294" s="2">
        <v>0</v>
      </c>
      <c r="O294" s="2">
        <v>0</v>
      </c>
      <c r="P294" s="8">
        <v>0.1</v>
      </c>
      <c r="Q294" s="12">
        <f t="shared" si="33"/>
        <v>-4.6620928890865458E-4</v>
      </c>
      <c r="R294" s="3">
        <f t="shared" si="34"/>
        <v>3.287795656581429E-4</v>
      </c>
      <c r="S294" s="14">
        <f t="shared" si="35"/>
        <v>1.8132279659715787E-2</v>
      </c>
    </row>
    <row r="295" spans="1:19" x14ac:dyDescent="0.35">
      <c r="A295" s="4">
        <v>43866</v>
      </c>
      <c r="B295" s="2">
        <v>46.240001999999997</v>
      </c>
      <c r="C295" s="2">
        <v>16.272044999999999</v>
      </c>
      <c r="D295" s="2">
        <v>33.492759999999997</v>
      </c>
      <c r="E295" s="2">
        <v>55.406441000000001</v>
      </c>
      <c r="F295" s="8">
        <v>1371.4541019999999</v>
      </c>
      <c r="G295" s="12">
        <f t="shared" si="36"/>
        <v>8.4701125347450192E-3</v>
      </c>
      <c r="H295" s="3">
        <f t="shared" si="37"/>
        <v>-6.1574861398190879E-3</v>
      </c>
      <c r="I295" s="3">
        <f t="shared" si="38"/>
        <v>-8.9358659799833231E-3</v>
      </c>
      <c r="J295" s="3">
        <f t="shared" si="39"/>
        <v>-8.9583645909205225E-3</v>
      </c>
      <c r="K295" s="14">
        <f t="shared" si="40"/>
        <v>-2.8443830860813146E-3</v>
      </c>
      <c r="L295" s="9">
        <v>0.3</v>
      </c>
      <c r="M295" s="2">
        <v>0.6</v>
      </c>
      <c r="N295" s="2">
        <v>0</v>
      </c>
      <c r="O295" s="2">
        <v>0</v>
      </c>
      <c r="P295" s="8">
        <v>0.1</v>
      </c>
      <c r="Q295" s="12">
        <f t="shared" si="33"/>
        <v>-3.6595310015923575E-4</v>
      </c>
      <c r="R295" s="3">
        <f t="shared" si="34"/>
        <v>2.9484123510019209E-4</v>
      </c>
      <c r="S295" s="14">
        <f t="shared" si="35"/>
        <v>1.7170941590378557E-2</v>
      </c>
    </row>
    <row r="296" spans="1:19" x14ac:dyDescent="0.35">
      <c r="A296" s="4">
        <v>43867</v>
      </c>
      <c r="B296" s="2">
        <v>46.099997999999999</v>
      </c>
      <c r="C296" s="2">
        <v>16.291188999999999</v>
      </c>
      <c r="D296" s="2">
        <v>32.654949000000002</v>
      </c>
      <c r="E296" s="2">
        <v>54.508011000000003</v>
      </c>
      <c r="F296" s="8">
        <v>1359.2666019999999</v>
      </c>
      <c r="G296" s="12">
        <f t="shared" si="36"/>
        <v>-3.0323609980622067E-3</v>
      </c>
      <c r="H296" s="3">
        <f t="shared" si="37"/>
        <v>1.175804725389048E-3</v>
      </c>
      <c r="I296" s="3">
        <f t="shared" si="38"/>
        <v>-2.5332874499740265E-2</v>
      </c>
      <c r="J296" s="3">
        <f t="shared" si="39"/>
        <v>-1.6348168840269305E-2</v>
      </c>
      <c r="K296" s="14">
        <f t="shared" si="40"/>
        <v>-8.9262742289141165E-3</v>
      </c>
      <c r="L296" s="9">
        <v>0.2</v>
      </c>
      <c r="M296" s="2">
        <v>0.7</v>
      </c>
      <c r="N296" s="2">
        <v>0</v>
      </c>
      <c r="O296" s="2">
        <v>0</v>
      </c>
      <c r="P296" s="8">
        <v>0.1</v>
      </c>
      <c r="Q296" s="12">
        <f t="shared" si="33"/>
        <v>-2.6569691140981697E-4</v>
      </c>
      <c r="R296" s="3">
        <f t="shared" si="34"/>
        <v>2.854708846233718E-4</v>
      </c>
      <c r="S296" s="14">
        <f t="shared" si="35"/>
        <v>1.689588365914526E-2</v>
      </c>
    </row>
    <row r="297" spans="1:19" x14ac:dyDescent="0.35">
      <c r="A297" s="4">
        <v>43868</v>
      </c>
      <c r="B297" s="2">
        <v>45.200001</v>
      </c>
      <c r="C297" s="2">
        <v>16.128468000000002</v>
      </c>
      <c r="D297" s="2">
        <v>32.694374000000003</v>
      </c>
      <c r="E297" s="2">
        <v>55.287967999999999</v>
      </c>
      <c r="F297" s="8">
        <v>1386.1629640000001</v>
      </c>
      <c r="G297" s="12">
        <f t="shared" si="36"/>
        <v>-1.9715797656574847E-2</v>
      </c>
      <c r="H297" s="3">
        <f t="shared" si="37"/>
        <v>-1.0038500189403632E-2</v>
      </c>
      <c r="I297" s="3">
        <f t="shared" si="38"/>
        <v>1.2065926002974815E-3</v>
      </c>
      <c r="J297" s="3">
        <f t="shared" si="39"/>
        <v>1.420762630869165E-2</v>
      </c>
      <c r="K297" s="14">
        <f t="shared" si="40"/>
        <v>1.9594181441509925E-2</v>
      </c>
      <c r="L297" s="9">
        <v>0.1</v>
      </c>
      <c r="M297" s="2">
        <v>0.8</v>
      </c>
      <c r="N297" s="2">
        <v>0</v>
      </c>
      <c r="O297" s="2">
        <v>0</v>
      </c>
      <c r="P297" s="8">
        <v>0.1</v>
      </c>
      <c r="Q297" s="12">
        <f t="shared" si="33"/>
        <v>-1.6544072266039814E-4</v>
      </c>
      <c r="R297" s="3">
        <f t="shared" si="34"/>
        <v>3.0066851422768206E-4</v>
      </c>
      <c r="S297" s="14">
        <f t="shared" si="35"/>
        <v>1.7339795680101945E-2</v>
      </c>
    </row>
    <row r="298" spans="1:19" x14ac:dyDescent="0.35">
      <c r="A298" s="4">
        <v>43871</v>
      </c>
      <c r="B298" s="2">
        <v>45.400002000000001</v>
      </c>
      <c r="C298" s="2">
        <v>16.128468000000002</v>
      </c>
      <c r="D298" s="2">
        <v>32.502170999999997</v>
      </c>
      <c r="E298" s="2">
        <v>55.519981000000001</v>
      </c>
      <c r="F298" s="8">
        <v>1398.200928</v>
      </c>
      <c r="G298" s="12">
        <f t="shared" si="36"/>
        <v>4.4150401380857506E-3</v>
      </c>
      <c r="H298" s="3">
        <f t="shared" si="37"/>
        <v>0</v>
      </c>
      <c r="I298" s="3">
        <f t="shared" si="38"/>
        <v>-5.8961270667582536E-3</v>
      </c>
      <c r="J298" s="3">
        <f t="shared" si="39"/>
        <v>4.1876659779850733E-3</v>
      </c>
      <c r="K298" s="14">
        <f t="shared" si="40"/>
        <v>8.6468863065491137E-3</v>
      </c>
      <c r="L298" s="9">
        <v>0</v>
      </c>
      <c r="M298" s="2">
        <v>0.9</v>
      </c>
      <c r="N298" s="2">
        <v>0</v>
      </c>
      <c r="O298" s="2">
        <v>0</v>
      </c>
      <c r="P298" s="8">
        <v>0.1</v>
      </c>
      <c r="Q298" s="12">
        <f t="shared" si="33"/>
        <v>-6.5184533910979343E-5</v>
      </c>
      <c r="R298" s="3">
        <f t="shared" si="34"/>
        <v>3.4043412391312274E-4</v>
      </c>
      <c r="S298" s="14">
        <f t="shared" si="35"/>
        <v>1.845085699671218E-2</v>
      </c>
    </row>
    <row r="299" spans="1:19" x14ac:dyDescent="0.35">
      <c r="A299" s="4">
        <v>43872</v>
      </c>
      <c r="B299" s="2">
        <v>45.77</v>
      </c>
      <c r="C299" s="2">
        <v>16.138041000000001</v>
      </c>
      <c r="D299" s="2">
        <v>33.364623999999999</v>
      </c>
      <c r="E299" s="2">
        <v>55.544659000000003</v>
      </c>
      <c r="F299" s="8">
        <v>1397.6329350000001</v>
      </c>
      <c r="G299" s="12">
        <f t="shared" si="36"/>
        <v>8.116705565386002E-3</v>
      </c>
      <c r="H299" s="3">
        <f t="shared" si="37"/>
        <v>5.9337068542988502E-4</v>
      </c>
      <c r="I299" s="3">
        <f t="shared" si="38"/>
        <v>2.6189289893229321E-2</v>
      </c>
      <c r="J299" s="3">
        <f t="shared" si="39"/>
        <v>4.4438986892905176E-4</v>
      </c>
      <c r="K299" s="14">
        <f t="shared" si="40"/>
        <v>-4.0631384813736979E-4</v>
      </c>
      <c r="L299" s="9">
        <v>0.8</v>
      </c>
      <c r="M299" s="2">
        <v>0</v>
      </c>
      <c r="N299" s="2">
        <v>0.1</v>
      </c>
      <c r="O299" s="2">
        <v>0</v>
      </c>
      <c r="P299" s="8">
        <v>0.1</v>
      </c>
      <c r="Q299" s="12">
        <f t="shared" si="33"/>
        <v>-8.2274031072376028E-4</v>
      </c>
      <c r="R299" s="3">
        <f t="shared" si="34"/>
        <v>6.9616124215963549E-4</v>
      </c>
      <c r="S299" s="14">
        <f t="shared" si="35"/>
        <v>2.63848676737185E-2</v>
      </c>
    </row>
    <row r="300" spans="1:19" x14ac:dyDescent="0.35">
      <c r="A300" s="4">
        <v>43873</v>
      </c>
      <c r="B300" s="2">
        <v>46.060001</v>
      </c>
      <c r="C300" s="2">
        <v>16.176324999999999</v>
      </c>
      <c r="D300" s="2">
        <v>33.591330999999997</v>
      </c>
      <c r="E300" s="2">
        <v>55.534790000000001</v>
      </c>
      <c r="F300" s="8">
        <v>1387.817139</v>
      </c>
      <c r="G300" s="12">
        <f t="shared" si="36"/>
        <v>6.3160614378001472E-3</v>
      </c>
      <c r="H300" s="3">
        <f t="shared" si="37"/>
        <v>2.3694735593338826E-3</v>
      </c>
      <c r="I300" s="3">
        <f t="shared" si="38"/>
        <v>6.7718507296155089E-3</v>
      </c>
      <c r="J300" s="3">
        <f t="shared" si="39"/>
        <v>-1.7769263558322095E-4</v>
      </c>
      <c r="K300" s="14">
        <f t="shared" si="40"/>
        <v>-7.0479357886076895E-3</v>
      </c>
      <c r="L300" s="9">
        <v>0.7</v>
      </c>
      <c r="M300" s="2">
        <v>0.1</v>
      </c>
      <c r="N300" s="2">
        <v>0.1</v>
      </c>
      <c r="O300" s="2">
        <v>0</v>
      </c>
      <c r="P300" s="8">
        <v>0.1</v>
      </c>
      <c r="Q300" s="12">
        <f t="shared" si="33"/>
        <v>-7.2248412197434145E-4</v>
      </c>
      <c r="R300" s="3">
        <f t="shared" si="34"/>
        <v>5.5965729931997177E-4</v>
      </c>
      <c r="S300" s="14">
        <f t="shared" si="35"/>
        <v>2.3657077150822579E-2</v>
      </c>
    </row>
    <row r="301" spans="1:19" x14ac:dyDescent="0.35">
      <c r="A301" s="4">
        <v>43874</v>
      </c>
      <c r="B301" s="2">
        <v>45.900002000000001</v>
      </c>
      <c r="C301" s="2">
        <v>15.994464000000001</v>
      </c>
      <c r="D301" s="2">
        <v>33.256207000000003</v>
      </c>
      <c r="E301" s="2">
        <v>56.541820999999999</v>
      </c>
      <c r="F301" s="8">
        <v>1383.791138</v>
      </c>
      <c r="G301" s="12">
        <f t="shared" si="36"/>
        <v>-3.4797554638676142E-3</v>
      </c>
      <c r="H301" s="3">
        <f t="shared" si="37"/>
        <v>-1.1306091201884411E-2</v>
      </c>
      <c r="I301" s="3">
        <f t="shared" si="38"/>
        <v>-1.0026601355848609E-2</v>
      </c>
      <c r="J301" s="3">
        <f t="shared" si="39"/>
        <v>1.7970887820861037E-2</v>
      </c>
      <c r="K301" s="14">
        <f t="shared" si="40"/>
        <v>-2.9051752118394057E-3</v>
      </c>
      <c r="L301" s="9">
        <v>0.6</v>
      </c>
      <c r="M301" s="2">
        <v>0.2</v>
      </c>
      <c r="N301" s="2">
        <v>0.1</v>
      </c>
      <c r="O301" s="2">
        <v>0</v>
      </c>
      <c r="P301" s="8">
        <v>0.1</v>
      </c>
      <c r="Q301" s="12">
        <f t="shared" si="33"/>
        <v>-6.2222793322492251E-4</v>
      </c>
      <c r="R301" s="3">
        <f t="shared" si="34"/>
        <v>4.4772133656143865E-4</v>
      </c>
      <c r="S301" s="14">
        <f t="shared" si="35"/>
        <v>2.1159426659563312E-2</v>
      </c>
    </row>
    <row r="302" spans="1:19" x14ac:dyDescent="0.35">
      <c r="A302" s="4">
        <v>43875</v>
      </c>
      <c r="B302" s="2">
        <v>45.889999000000003</v>
      </c>
      <c r="C302" s="2">
        <v>15.697737</v>
      </c>
      <c r="D302" s="2">
        <v>32.457816999999999</v>
      </c>
      <c r="E302" s="2">
        <v>57.440249999999999</v>
      </c>
      <c r="F302" s="8">
        <v>1387.9566649999999</v>
      </c>
      <c r="G302" s="12">
        <f t="shared" si="36"/>
        <v>-2.1795402398128291E-4</v>
      </c>
      <c r="H302" s="3">
        <f t="shared" si="37"/>
        <v>-1.872610053028307E-2</v>
      </c>
      <c r="I302" s="3">
        <f t="shared" si="38"/>
        <v>-2.4300118549203907E-2</v>
      </c>
      <c r="J302" s="3">
        <f t="shared" si="39"/>
        <v>1.5764718064507948E-2</v>
      </c>
      <c r="K302" s="14">
        <f t="shared" si="40"/>
        <v>3.0057064582373685E-3</v>
      </c>
      <c r="L302" s="9">
        <v>0.5</v>
      </c>
      <c r="M302" s="2">
        <v>0.3</v>
      </c>
      <c r="N302" s="2">
        <v>0.1</v>
      </c>
      <c r="O302" s="2">
        <v>0</v>
      </c>
      <c r="P302" s="8">
        <v>0.1</v>
      </c>
      <c r="Q302" s="12">
        <f t="shared" si="33"/>
        <v>-5.2197174447550379E-4</v>
      </c>
      <c r="R302" s="3">
        <f t="shared" si="34"/>
        <v>3.60353353884036E-4</v>
      </c>
      <c r="S302" s="14">
        <f t="shared" si="35"/>
        <v>1.8982975369631495E-2</v>
      </c>
    </row>
    <row r="303" spans="1:19" x14ac:dyDescent="0.35">
      <c r="A303" s="4">
        <v>43878</v>
      </c>
      <c r="B303" s="2">
        <v>43.080002</v>
      </c>
      <c r="C303" s="2">
        <v>15.643435999999999</v>
      </c>
      <c r="D303" s="2">
        <v>32.428249000000001</v>
      </c>
      <c r="E303" s="2">
        <v>57.578468000000001</v>
      </c>
      <c r="F303" s="8">
        <v>1386.541626</v>
      </c>
      <c r="G303" s="12">
        <f t="shared" si="36"/>
        <v>-6.3188307902059995E-2</v>
      </c>
      <c r="H303" s="3">
        <f t="shared" si="37"/>
        <v>-3.4651577548871753E-3</v>
      </c>
      <c r="I303" s="3">
        <f t="shared" si="38"/>
        <v>-9.1138217708066217E-4</v>
      </c>
      <c r="J303" s="3">
        <f t="shared" si="39"/>
        <v>2.4034012713098516E-3</v>
      </c>
      <c r="K303" s="14">
        <f t="shared" si="40"/>
        <v>-1.0200324341751294E-3</v>
      </c>
      <c r="L303" s="9">
        <v>0.4</v>
      </c>
      <c r="M303" s="2">
        <v>0.4</v>
      </c>
      <c r="N303" s="2">
        <v>0.1</v>
      </c>
      <c r="O303" s="2">
        <v>0</v>
      </c>
      <c r="P303" s="8">
        <v>0.1</v>
      </c>
      <c r="Q303" s="12">
        <f t="shared" si="33"/>
        <v>-4.2171555572608507E-4</v>
      </c>
      <c r="R303" s="3">
        <f t="shared" si="34"/>
        <v>2.9755335128776395E-4</v>
      </c>
      <c r="S303" s="14">
        <f t="shared" si="35"/>
        <v>1.7249734817896881E-2</v>
      </c>
    </row>
    <row r="304" spans="1:19" x14ac:dyDescent="0.35">
      <c r="A304" s="4">
        <v>43879</v>
      </c>
      <c r="B304" s="2">
        <v>41.889999000000003</v>
      </c>
      <c r="C304" s="2">
        <v>15.653098999999999</v>
      </c>
      <c r="D304" s="2">
        <v>31.95513</v>
      </c>
      <c r="E304" s="2">
        <v>57.578468000000001</v>
      </c>
      <c r="F304" s="8">
        <v>1389.2124020000001</v>
      </c>
      <c r="G304" s="12">
        <f t="shared" si="36"/>
        <v>-2.8011787626544649E-2</v>
      </c>
      <c r="H304" s="3">
        <f t="shared" si="37"/>
        <v>6.1751246948314742E-4</v>
      </c>
      <c r="I304" s="3">
        <f t="shared" si="38"/>
        <v>-1.4697194330476934E-2</v>
      </c>
      <c r="J304" s="3">
        <f t="shared" si="39"/>
        <v>0</v>
      </c>
      <c r="K304" s="14">
        <f t="shared" si="40"/>
        <v>1.9243613066957108E-3</v>
      </c>
      <c r="L304" s="9">
        <v>0.3</v>
      </c>
      <c r="M304" s="2">
        <v>0.5</v>
      </c>
      <c r="N304" s="2">
        <v>0.1</v>
      </c>
      <c r="O304" s="2">
        <v>0</v>
      </c>
      <c r="P304" s="8">
        <v>0.1</v>
      </c>
      <c r="Q304" s="12">
        <f t="shared" si="33"/>
        <v>-3.2145936697666608E-4</v>
      </c>
      <c r="R304" s="3">
        <f t="shared" si="34"/>
        <v>2.5932132877262227E-4</v>
      </c>
      <c r="S304" s="14">
        <f t="shared" si="35"/>
        <v>1.6103457044144971E-2</v>
      </c>
    </row>
    <row r="305" spans="1:19" x14ac:dyDescent="0.35">
      <c r="A305" s="4">
        <v>43880</v>
      </c>
      <c r="B305" s="2">
        <v>42.41</v>
      </c>
      <c r="C305" s="2">
        <v>15.759383</v>
      </c>
      <c r="D305" s="2">
        <v>31.275023999999998</v>
      </c>
      <c r="E305" s="2">
        <v>55.416316999999999</v>
      </c>
      <c r="F305" s="8">
        <v>1396.227905</v>
      </c>
      <c r="G305" s="12">
        <f t="shared" si="36"/>
        <v>1.2337072399601735E-2</v>
      </c>
      <c r="H305" s="3">
        <f t="shared" si="37"/>
        <v>6.767017364885582E-3</v>
      </c>
      <c r="I305" s="3">
        <f t="shared" si="38"/>
        <v>-2.1512907576134131E-2</v>
      </c>
      <c r="J305" s="3">
        <f t="shared" si="39"/>
        <v>-3.8274597295984099E-2</v>
      </c>
      <c r="K305" s="14">
        <f t="shared" si="40"/>
        <v>5.0372774578872149E-3</v>
      </c>
      <c r="L305" s="9">
        <v>0.2</v>
      </c>
      <c r="M305" s="2">
        <v>0.6</v>
      </c>
      <c r="N305" s="2">
        <v>0.1</v>
      </c>
      <c r="O305" s="2">
        <v>0</v>
      </c>
      <c r="P305" s="8">
        <v>0.1</v>
      </c>
      <c r="Q305" s="12">
        <f t="shared" si="33"/>
        <v>-2.2120317822724736E-4</v>
      </c>
      <c r="R305" s="3">
        <f t="shared" si="34"/>
        <v>2.4565728633861106E-4</v>
      </c>
      <c r="S305" s="14">
        <f t="shared" si="35"/>
        <v>1.5673458021081724E-2</v>
      </c>
    </row>
    <row r="306" spans="1:19" x14ac:dyDescent="0.35">
      <c r="A306" s="4">
        <v>43881</v>
      </c>
      <c r="B306" s="2">
        <v>42.830002</v>
      </c>
      <c r="C306" s="2">
        <v>15.614447999999999</v>
      </c>
      <c r="D306" s="2">
        <v>30.456925999999999</v>
      </c>
      <c r="E306" s="2">
        <v>56.916992</v>
      </c>
      <c r="F306" s="8">
        <v>1379.974487</v>
      </c>
      <c r="G306" s="12">
        <f t="shared" si="36"/>
        <v>9.854654837020119E-3</v>
      </c>
      <c r="H306" s="3">
        <f t="shared" si="37"/>
        <v>-9.2392944313746776E-3</v>
      </c>
      <c r="I306" s="3">
        <f t="shared" si="38"/>
        <v>-2.6506400602790126E-2</v>
      </c>
      <c r="J306" s="3">
        <f t="shared" si="39"/>
        <v>2.6719844651947062E-2</v>
      </c>
      <c r="K306" s="14">
        <f t="shared" si="40"/>
        <v>-1.1709235429018517E-2</v>
      </c>
      <c r="L306" s="9">
        <v>0.1</v>
      </c>
      <c r="M306" s="2">
        <v>0.7</v>
      </c>
      <c r="N306" s="2">
        <v>0.1</v>
      </c>
      <c r="O306" s="2">
        <v>0</v>
      </c>
      <c r="P306" s="8">
        <v>0.1</v>
      </c>
      <c r="Q306" s="12">
        <f t="shared" si="33"/>
        <v>-1.2094698947782853E-4</v>
      </c>
      <c r="R306" s="3">
        <f t="shared" si="34"/>
        <v>2.5656122398573039E-4</v>
      </c>
      <c r="S306" s="14">
        <f t="shared" si="35"/>
        <v>1.6017528647882306E-2</v>
      </c>
    </row>
    <row r="307" spans="1:19" x14ac:dyDescent="0.35">
      <c r="A307" s="4">
        <v>43882</v>
      </c>
      <c r="B307" s="2">
        <v>43.91</v>
      </c>
      <c r="C307" s="2">
        <v>15.595122</v>
      </c>
      <c r="D307" s="2">
        <v>31.659431000000001</v>
      </c>
      <c r="E307" s="2">
        <v>58.081989</v>
      </c>
      <c r="F307" s="8">
        <v>1371.9722899999999</v>
      </c>
      <c r="G307" s="12">
        <f t="shared" si="36"/>
        <v>2.4903246250106585E-2</v>
      </c>
      <c r="H307" s="3">
        <f t="shared" si="37"/>
        <v>-1.2384664364284827E-3</v>
      </c>
      <c r="I307" s="3">
        <f t="shared" si="38"/>
        <v>3.872265895070811E-2</v>
      </c>
      <c r="J307" s="3">
        <f t="shared" si="39"/>
        <v>2.0261690072474851E-2</v>
      </c>
      <c r="K307" s="14">
        <f t="shared" si="40"/>
        <v>-5.8156790103219939E-3</v>
      </c>
      <c r="L307" s="9">
        <v>0</v>
      </c>
      <c r="M307" s="2">
        <v>0.8</v>
      </c>
      <c r="N307" s="2">
        <v>0.1</v>
      </c>
      <c r="O307" s="2">
        <v>0</v>
      </c>
      <c r="P307" s="8">
        <v>0.1</v>
      </c>
      <c r="Q307" s="12">
        <f t="shared" si="33"/>
        <v>-2.0690800728409732E-5</v>
      </c>
      <c r="R307" s="3">
        <f t="shared" si="34"/>
        <v>2.9203314171398031E-4</v>
      </c>
      <c r="S307" s="14">
        <f t="shared" si="35"/>
        <v>1.7088977199176677E-2</v>
      </c>
    </row>
    <row r="308" spans="1:19" x14ac:dyDescent="0.35">
      <c r="A308" s="4">
        <v>43885</v>
      </c>
      <c r="B308" s="2">
        <v>42.970001000000003</v>
      </c>
      <c r="C308" s="2">
        <v>15.005717000000001</v>
      </c>
      <c r="D308" s="2">
        <v>31.846708</v>
      </c>
      <c r="E308" s="2">
        <v>56.117286999999997</v>
      </c>
      <c r="F308" s="8">
        <v>1372.380981</v>
      </c>
      <c r="G308" s="12">
        <f t="shared" si="36"/>
        <v>-2.1639863514672161E-2</v>
      </c>
      <c r="H308" s="3">
        <f t="shared" si="37"/>
        <v>-3.8526911226681636E-2</v>
      </c>
      <c r="I308" s="3">
        <f t="shared" si="38"/>
        <v>5.8979350918767952E-3</v>
      </c>
      <c r="J308" s="3">
        <f t="shared" si="39"/>
        <v>-3.4411704569003672E-2</v>
      </c>
      <c r="K308" s="14">
        <f t="shared" si="40"/>
        <v>2.9784139479428859E-4</v>
      </c>
      <c r="L308" s="9">
        <v>0.7</v>
      </c>
      <c r="M308" s="2">
        <v>0</v>
      </c>
      <c r="N308" s="2">
        <v>0.2</v>
      </c>
      <c r="O308" s="2">
        <v>0</v>
      </c>
      <c r="P308" s="8">
        <v>0.1</v>
      </c>
      <c r="Q308" s="12">
        <f t="shared" si="33"/>
        <v>-6.7799038879177173E-4</v>
      </c>
      <c r="R308" s="3">
        <f t="shared" si="34"/>
        <v>5.555106947911061E-4</v>
      </c>
      <c r="S308" s="14">
        <f t="shared" si="35"/>
        <v>2.3569274379817172E-2</v>
      </c>
    </row>
    <row r="309" spans="1:19" x14ac:dyDescent="0.35">
      <c r="A309" s="4">
        <v>43886</v>
      </c>
      <c r="B309" s="2">
        <v>43.139999000000003</v>
      </c>
      <c r="C309" s="2">
        <v>14.503271</v>
      </c>
      <c r="D309" s="2">
        <v>30.949757000000002</v>
      </c>
      <c r="E309" s="2">
        <v>55.751995000000001</v>
      </c>
      <c r="F309" s="8">
        <v>1368.334961</v>
      </c>
      <c r="G309" s="12">
        <f t="shared" si="36"/>
        <v>3.9483967217131813E-3</v>
      </c>
      <c r="H309" s="3">
        <f t="shared" si="37"/>
        <v>-3.4057051630001202E-2</v>
      </c>
      <c r="I309" s="3">
        <f t="shared" si="38"/>
        <v>-2.8568869451965691E-2</v>
      </c>
      <c r="J309" s="3">
        <f t="shared" si="39"/>
        <v>-6.5307167755968686E-3</v>
      </c>
      <c r="K309" s="14">
        <f t="shared" si="40"/>
        <v>-2.952529940982814E-3</v>
      </c>
      <c r="L309" s="9">
        <v>0.6</v>
      </c>
      <c r="M309" s="2">
        <v>0.1</v>
      </c>
      <c r="N309" s="2">
        <v>0.2</v>
      </c>
      <c r="O309" s="2">
        <v>0</v>
      </c>
      <c r="P309" s="8">
        <v>0.1</v>
      </c>
      <c r="Q309" s="12">
        <f t="shared" si="33"/>
        <v>-5.777342000423529E-4</v>
      </c>
      <c r="R309" s="3">
        <f t="shared" si="34"/>
        <v>4.3928104007538227E-4</v>
      </c>
      <c r="S309" s="14">
        <f t="shared" si="35"/>
        <v>2.0959032422213156E-2</v>
      </c>
    </row>
    <row r="310" spans="1:19" x14ac:dyDescent="0.35">
      <c r="A310" s="4">
        <v>43887</v>
      </c>
      <c r="B310" s="2">
        <v>42.349997999999999</v>
      </c>
      <c r="C310" s="2">
        <v>14.145762</v>
      </c>
      <c r="D310" s="2">
        <v>31.077891999999999</v>
      </c>
      <c r="E310" s="2">
        <v>55.357078999999999</v>
      </c>
      <c r="F310" s="8">
        <v>1380.2933350000001</v>
      </c>
      <c r="G310" s="12">
        <f t="shared" si="36"/>
        <v>-1.8482243908106537E-2</v>
      </c>
      <c r="H310" s="3">
        <f t="shared" si="37"/>
        <v>-2.4959136264459694E-2</v>
      </c>
      <c r="I310" s="3">
        <f t="shared" si="38"/>
        <v>4.1315505048040288E-3</v>
      </c>
      <c r="J310" s="3">
        <f t="shared" si="39"/>
        <v>-7.1086482642964341E-3</v>
      </c>
      <c r="K310" s="14">
        <f t="shared" si="40"/>
        <v>8.7013944147575333E-3</v>
      </c>
      <c r="L310" s="9">
        <v>0.5</v>
      </c>
      <c r="M310" s="2">
        <v>0.2</v>
      </c>
      <c r="N310" s="2">
        <v>0.2</v>
      </c>
      <c r="O310" s="2">
        <v>0</v>
      </c>
      <c r="P310" s="8">
        <v>0.1</v>
      </c>
      <c r="Q310" s="12">
        <f t="shared" si="33"/>
        <v>-4.7747801129293418E-4</v>
      </c>
      <c r="R310" s="3">
        <f t="shared" si="34"/>
        <v>3.4761936544078871E-4</v>
      </c>
      <c r="S310" s="14">
        <f t="shared" si="35"/>
        <v>1.8644553237897352E-2</v>
      </c>
    </row>
    <row r="311" spans="1:19" x14ac:dyDescent="0.35">
      <c r="A311" s="4">
        <v>43888</v>
      </c>
      <c r="B311" s="2">
        <v>39.400002000000001</v>
      </c>
      <c r="C311" s="2">
        <v>14.503271</v>
      </c>
      <c r="D311" s="2">
        <v>29.697966000000001</v>
      </c>
      <c r="E311" s="2">
        <v>54.636360000000003</v>
      </c>
      <c r="F311" s="8">
        <v>1362.0169679999999</v>
      </c>
      <c r="G311" s="12">
        <f t="shared" si="36"/>
        <v>-7.220250680725232E-2</v>
      </c>
      <c r="H311" s="3">
        <f t="shared" si="37"/>
        <v>2.4959136264459666E-2</v>
      </c>
      <c r="I311" s="3">
        <f t="shared" si="38"/>
        <v>-4.5418139616429695E-2</v>
      </c>
      <c r="J311" s="3">
        <f t="shared" si="39"/>
        <v>-1.310495100794149E-2</v>
      </c>
      <c r="K311" s="14">
        <f t="shared" si="40"/>
        <v>-1.3329372375803261E-2</v>
      </c>
      <c r="L311" s="9">
        <v>0.4</v>
      </c>
      <c r="M311" s="2">
        <v>0.3</v>
      </c>
      <c r="N311" s="2">
        <v>0.2</v>
      </c>
      <c r="O311" s="2">
        <v>0</v>
      </c>
      <c r="P311" s="8">
        <v>0.1</v>
      </c>
      <c r="Q311" s="12">
        <f t="shared" si="33"/>
        <v>-3.7722182254351541E-4</v>
      </c>
      <c r="R311" s="3">
        <f t="shared" si="34"/>
        <v>2.8052567088732578E-4</v>
      </c>
      <c r="S311" s="14">
        <f t="shared" si="35"/>
        <v>1.6748900587421425E-2</v>
      </c>
    </row>
    <row r="312" spans="1:19" x14ac:dyDescent="0.35">
      <c r="A312" s="4">
        <v>43889</v>
      </c>
      <c r="B312" s="2">
        <v>39.919998</v>
      </c>
      <c r="C312" s="2">
        <v>14.116776</v>
      </c>
      <c r="D312" s="2">
        <v>29.264277</v>
      </c>
      <c r="E312" s="2">
        <v>54.498142000000001</v>
      </c>
      <c r="F312" s="8">
        <v>1322.9729</v>
      </c>
      <c r="G312" s="12">
        <f t="shared" si="36"/>
        <v>1.3111534277753445E-2</v>
      </c>
      <c r="H312" s="3">
        <f t="shared" si="37"/>
        <v>-2.7010332810431002E-2</v>
      </c>
      <c r="I312" s="3">
        <f t="shared" si="38"/>
        <v>-1.4711001456314965E-2</v>
      </c>
      <c r="J312" s="3">
        <f t="shared" si="39"/>
        <v>-2.5329858361519395E-3</v>
      </c>
      <c r="K312" s="14">
        <f t="shared" si="40"/>
        <v>-2.9085264625529572E-2</v>
      </c>
      <c r="L312" s="9">
        <v>0.3</v>
      </c>
      <c r="M312" s="2">
        <v>0.4</v>
      </c>
      <c r="N312" s="2">
        <v>0.2</v>
      </c>
      <c r="O312" s="2">
        <v>0</v>
      </c>
      <c r="P312" s="8">
        <v>0.1</v>
      </c>
      <c r="Q312" s="12">
        <f t="shared" si="33"/>
        <v>-2.7696563379409653E-4</v>
      </c>
      <c r="R312" s="3">
        <f t="shared" si="34"/>
        <v>2.3799995641499323E-4</v>
      </c>
      <c r="S312" s="14">
        <f t="shared" si="35"/>
        <v>1.5427247207943263E-2</v>
      </c>
    </row>
    <row r="313" spans="1:19" x14ac:dyDescent="0.35">
      <c r="A313" s="4">
        <v>43892</v>
      </c>
      <c r="B313" s="2">
        <v>41.950001</v>
      </c>
      <c r="C313" s="2">
        <v>13.778591</v>
      </c>
      <c r="D313" s="2">
        <v>30.397787000000001</v>
      </c>
      <c r="E313" s="2">
        <v>56.788643</v>
      </c>
      <c r="F313" s="8">
        <v>1311.263672</v>
      </c>
      <c r="G313" s="12">
        <f t="shared" si="36"/>
        <v>4.9601055408055546E-2</v>
      </c>
      <c r="H313" s="3">
        <f t="shared" si="37"/>
        <v>-2.4247866661745148E-2</v>
      </c>
      <c r="I313" s="3">
        <f t="shared" si="38"/>
        <v>3.8002252551123362E-2</v>
      </c>
      <c r="J313" s="3">
        <f t="shared" si="39"/>
        <v>4.1169749206961731E-2</v>
      </c>
      <c r="K313" s="14">
        <f t="shared" si="40"/>
        <v>-8.8900938078685723E-3</v>
      </c>
      <c r="L313" s="9">
        <v>0.2</v>
      </c>
      <c r="M313" s="2">
        <v>0.5</v>
      </c>
      <c r="N313" s="2">
        <v>0.2</v>
      </c>
      <c r="O313" s="2">
        <v>0</v>
      </c>
      <c r="P313" s="8">
        <v>0.1</v>
      </c>
      <c r="Q313" s="12">
        <f t="shared" si="33"/>
        <v>-1.7670944504467775E-4</v>
      </c>
      <c r="R313" s="3">
        <f t="shared" si="34"/>
        <v>2.2004222202379116E-4</v>
      </c>
      <c r="S313" s="14">
        <f t="shared" si="35"/>
        <v>1.483382021004E-2</v>
      </c>
    </row>
    <row r="314" spans="1:19" x14ac:dyDescent="0.35">
      <c r="A314" s="4">
        <v>43893</v>
      </c>
      <c r="B314" s="2">
        <v>43.349997999999999</v>
      </c>
      <c r="C314" s="2">
        <v>13.672304</v>
      </c>
      <c r="D314" s="2">
        <v>30.713197999999998</v>
      </c>
      <c r="E314" s="2">
        <v>57.193427999999997</v>
      </c>
      <c r="F314" s="8">
        <v>1308.8122559999999</v>
      </c>
      <c r="G314" s="12">
        <f t="shared" si="36"/>
        <v>3.2828200339331183E-2</v>
      </c>
      <c r="H314" s="3">
        <f t="shared" si="37"/>
        <v>-7.7438299291379504E-3</v>
      </c>
      <c r="I314" s="3">
        <f t="shared" si="38"/>
        <v>1.0322654781988938E-2</v>
      </c>
      <c r="J314" s="3">
        <f t="shared" si="39"/>
        <v>7.1026381280046812E-3</v>
      </c>
      <c r="K314" s="14">
        <f t="shared" si="40"/>
        <v>-1.8712562404209069E-3</v>
      </c>
      <c r="L314" s="9">
        <v>0.1</v>
      </c>
      <c r="M314" s="2">
        <v>0.6</v>
      </c>
      <c r="N314" s="2">
        <v>0.2</v>
      </c>
      <c r="O314" s="2">
        <v>0</v>
      </c>
      <c r="P314" s="8">
        <v>0.1</v>
      </c>
      <c r="Q314" s="12">
        <f t="shared" si="33"/>
        <v>-7.6453256295258923E-5</v>
      </c>
      <c r="R314" s="3">
        <f t="shared" si="34"/>
        <v>2.266524677137196E-4</v>
      </c>
      <c r="S314" s="14">
        <f t="shared" si="35"/>
        <v>1.5054981491643209E-2</v>
      </c>
    </row>
    <row r="315" spans="1:19" x14ac:dyDescent="0.35">
      <c r="A315" s="4">
        <v>43894</v>
      </c>
      <c r="B315" s="2">
        <v>43.98</v>
      </c>
      <c r="C315" s="2">
        <v>13.894539999999999</v>
      </c>
      <c r="D315" s="2">
        <v>31.560866999999998</v>
      </c>
      <c r="E315" s="2">
        <v>57.914146000000002</v>
      </c>
      <c r="F315" s="8">
        <v>1314.034058</v>
      </c>
      <c r="G315" s="12">
        <f t="shared" si="36"/>
        <v>1.4428328036166827E-2</v>
      </c>
      <c r="H315" s="3">
        <f t="shared" si="37"/>
        <v>1.6123776421492073E-2</v>
      </c>
      <c r="I315" s="3">
        <f t="shared" si="38"/>
        <v>2.7225502591456639E-2</v>
      </c>
      <c r="J315" s="3">
        <f t="shared" si="39"/>
        <v>1.2522675847601871E-2</v>
      </c>
      <c r="K315" s="14">
        <f t="shared" si="40"/>
        <v>3.9817879311286912E-3</v>
      </c>
      <c r="L315" s="9">
        <v>0</v>
      </c>
      <c r="M315" s="2">
        <v>0.7</v>
      </c>
      <c r="N315" s="2">
        <v>0.2</v>
      </c>
      <c r="O315" s="2">
        <v>0</v>
      </c>
      <c r="P315" s="8">
        <v>0.1</v>
      </c>
      <c r="Q315" s="12">
        <f t="shared" si="33"/>
        <v>2.3802932454159906E-5</v>
      </c>
      <c r="R315" s="3">
        <f t="shared" si="34"/>
        <v>2.5783069348477852E-4</v>
      </c>
      <c r="S315" s="14">
        <f t="shared" si="35"/>
        <v>1.6057107257684323E-2</v>
      </c>
    </row>
    <row r="316" spans="1:19" x14ac:dyDescent="0.35">
      <c r="A316" s="4">
        <v>43895</v>
      </c>
      <c r="B316" s="2">
        <v>43.220001000000003</v>
      </c>
      <c r="C316" s="2">
        <v>14.000826</v>
      </c>
      <c r="D316" s="2">
        <v>30.496352999999999</v>
      </c>
      <c r="E316" s="2">
        <v>56.739280999999998</v>
      </c>
      <c r="F316" s="8">
        <v>1315.7780760000001</v>
      </c>
      <c r="G316" s="12">
        <f t="shared" si="36"/>
        <v>-1.7431610910438922E-2</v>
      </c>
      <c r="H316" s="3">
        <f t="shared" si="37"/>
        <v>7.6203706619662089E-3</v>
      </c>
      <c r="I316" s="3">
        <f t="shared" si="38"/>
        <v>-3.4310864389868051E-2</v>
      </c>
      <c r="J316" s="3">
        <f t="shared" si="39"/>
        <v>-2.0494915063540748E-2</v>
      </c>
      <c r="K316" s="14">
        <f t="shared" si="40"/>
        <v>1.3263443674350968E-3</v>
      </c>
      <c r="L316" s="9">
        <v>0.6</v>
      </c>
      <c r="M316" s="2">
        <v>0</v>
      </c>
      <c r="N316" s="2">
        <v>0.3</v>
      </c>
      <c r="O316" s="2">
        <v>0</v>
      </c>
      <c r="P316" s="8">
        <v>0.1</v>
      </c>
      <c r="Q316" s="12">
        <f t="shared" si="33"/>
        <v>-5.3324046685978329E-4</v>
      </c>
      <c r="R316" s="3">
        <f t="shared" si="34"/>
        <v>4.4503927755926663E-4</v>
      </c>
      <c r="S316" s="14">
        <f t="shared" si="35"/>
        <v>2.1095954056625801E-2</v>
      </c>
    </row>
    <row r="317" spans="1:19" x14ac:dyDescent="0.35">
      <c r="A317" s="4">
        <v>43896</v>
      </c>
      <c r="B317" s="2">
        <v>40.959999000000003</v>
      </c>
      <c r="C317" s="2">
        <v>13.875216</v>
      </c>
      <c r="D317" s="2">
        <v>29.471264000000001</v>
      </c>
      <c r="E317" s="2">
        <v>56.768894000000003</v>
      </c>
      <c r="F317" s="8">
        <v>1313.0375979999999</v>
      </c>
      <c r="G317" s="12">
        <f t="shared" si="36"/>
        <v>-5.3707417898986497E-2</v>
      </c>
      <c r="H317" s="3">
        <f t="shared" si="37"/>
        <v>-9.0121007959345686E-3</v>
      </c>
      <c r="I317" s="3">
        <f t="shared" si="38"/>
        <v>-3.4191415787883178E-2</v>
      </c>
      <c r="J317" s="3">
        <f t="shared" si="39"/>
        <v>5.2177740804760456E-4</v>
      </c>
      <c r="K317" s="14">
        <f t="shared" si="40"/>
        <v>-2.0849533269674276E-3</v>
      </c>
      <c r="L317" s="9">
        <v>0.5</v>
      </c>
      <c r="M317" s="2">
        <v>0.1</v>
      </c>
      <c r="N317" s="2">
        <v>0.3</v>
      </c>
      <c r="O317" s="2">
        <v>0</v>
      </c>
      <c r="P317" s="8">
        <v>0.1</v>
      </c>
      <c r="Q317" s="12">
        <f t="shared" si="33"/>
        <v>-4.3298427811036457E-4</v>
      </c>
      <c r="R317" s="3">
        <f t="shared" si="34"/>
        <v>3.4908391096748225E-4</v>
      </c>
      <c r="S317" s="14">
        <f t="shared" si="35"/>
        <v>1.8683787382848326E-2</v>
      </c>
    </row>
    <row r="318" spans="1:19" x14ac:dyDescent="0.35">
      <c r="A318" s="4">
        <v>43899</v>
      </c>
      <c r="B318" s="2">
        <v>38.68</v>
      </c>
      <c r="C318" s="2">
        <v>13.160197</v>
      </c>
      <c r="D318" s="2">
        <v>26.563566000000002</v>
      </c>
      <c r="E318" s="2">
        <v>55.110256</v>
      </c>
      <c r="F318" s="8">
        <v>1321.747192</v>
      </c>
      <c r="G318" s="12">
        <f t="shared" si="36"/>
        <v>-5.7273285732096071E-2</v>
      </c>
      <c r="H318" s="3">
        <f t="shared" si="37"/>
        <v>-5.2907331688901472E-2</v>
      </c>
      <c r="I318" s="3">
        <f t="shared" si="38"/>
        <v>-0.10387510926139391</v>
      </c>
      <c r="J318" s="3">
        <f t="shared" si="39"/>
        <v>-2.9652701732718022E-2</v>
      </c>
      <c r="K318" s="14">
        <f t="shared" si="40"/>
        <v>6.6112615776771147E-3</v>
      </c>
      <c r="L318" s="9">
        <v>0.4</v>
      </c>
      <c r="M318" s="2">
        <v>0.2</v>
      </c>
      <c r="N318" s="2">
        <v>0.3</v>
      </c>
      <c r="O318" s="2">
        <v>0</v>
      </c>
      <c r="P318" s="8">
        <v>0.1</v>
      </c>
      <c r="Q318" s="12">
        <f t="shared" si="33"/>
        <v>-3.3272808936094574E-4</v>
      </c>
      <c r="R318" s="3">
        <f t="shared" si="34"/>
        <v>2.7769652445682841E-4</v>
      </c>
      <c r="S318" s="14">
        <f t="shared" si="35"/>
        <v>1.666422888875535E-2</v>
      </c>
    </row>
    <row r="319" spans="1:19" x14ac:dyDescent="0.35">
      <c r="A319" s="4">
        <v>43900</v>
      </c>
      <c r="B319" s="2">
        <v>38.93</v>
      </c>
      <c r="C319" s="2">
        <v>13.508042</v>
      </c>
      <c r="D319" s="2">
        <v>27.706931999999998</v>
      </c>
      <c r="E319" s="2">
        <v>58.111603000000002</v>
      </c>
      <c r="F319" s="8">
        <v>1310.6358640000001</v>
      </c>
      <c r="G319" s="12">
        <f t="shared" si="36"/>
        <v>6.442491037270682E-3</v>
      </c>
      <c r="H319" s="3">
        <f t="shared" si="37"/>
        <v>2.6088316397078024E-2</v>
      </c>
      <c r="I319" s="3">
        <f t="shared" si="38"/>
        <v>4.2142056948804518E-2</v>
      </c>
      <c r="J319" s="3">
        <f t="shared" si="39"/>
        <v>5.3029518180730352E-2</v>
      </c>
      <c r="K319" s="14">
        <f t="shared" si="40"/>
        <v>-8.4420798602482857E-3</v>
      </c>
      <c r="L319" s="9">
        <v>0.3</v>
      </c>
      <c r="M319" s="2">
        <v>0.3</v>
      </c>
      <c r="N319" s="2">
        <v>0.3</v>
      </c>
      <c r="O319" s="2">
        <v>0</v>
      </c>
      <c r="P319" s="8">
        <v>0.1</v>
      </c>
      <c r="Q319" s="12">
        <f t="shared" si="33"/>
        <v>-2.3247190061152691E-4</v>
      </c>
      <c r="R319" s="3">
        <f t="shared" si="34"/>
        <v>2.3087711802730494E-4</v>
      </c>
      <c r="S319" s="14">
        <f t="shared" si="35"/>
        <v>1.5194641095705582E-2</v>
      </c>
    </row>
    <row r="320" spans="1:19" x14ac:dyDescent="0.35">
      <c r="A320" s="4">
        <v>43901</v>
      </c>
      <c r="B320" s="2">
        <v>37.209999000000003</v>
      </c>
      <c r="C320" s="2">
        <v>13.111884999999999</v>
      </c>
      <c r="D320" s="2">
        <v>27.549226999999998</v>
      </c>
      <c r="E320" s="2">
        <v>58.467025999999997</v>
      </c>
      <c r="F320" s="8">
        <v>1300.1225589999999</v>
      </c>
      <c r="G320" s="12">
        <f t="shared" si="36"/>
        <v>-4.5187646138329637E-2</v>
      </c>
      <c r="H320" s="3">
        <f t="shared" si="37"/>
        <v>-2.9766140975826683E-2</v>
      </c>
      <c r="I320" s="3">
        <f t="shared" si="38"/>
        <v>-5.7081574638251356E-3</v>
      </c>
      <c r="J320" s="3">
        <f t="shared" si="39"/>
        <v>6.0975858831662675E-3</v>
      </c>
      <c r="K320" s="14">
        <f t="shared" si="40"/>
        <v>-8.0538756370845017E-3</v>
      </c>
      <c r="L320" s="9">
        <v>0.2</v>
      </c>
      <c r="M320" s="2">
        <v>0.4</v>
      </c>
      <c r="N320" s="2">
        <v>0.3</v>
      </c>
      <c r="O320" s="2">
        <v>0</v>
      </c>
      <c r="P320" s="8">
        <v>0.1</v>
      </c>
      <c r="Q320" s="12">
        <f t="shared" si="33"/>
        <v>-1.3221571186210809E-4</v>
      </c>
      <c r="R320" s="3">
        <f t="shared" si="34"/>
        <v>2.0862569167891205E-4</v>
      </c>
      <c r="S320" s="14">
        <f t="shared" si="35"/>
        <v>1.4443880769340075E-2</v>
      </c>
    </row>
    <row r="321" spans="1:19" x14ac:dyDescent="0.35">
      <c r="A321" s="4">
        <v>43902</v>
      </c>
      <c r="B321" s="2">
        <v>32.509998000000003</v>
      </c>
      <c r="C321" s="2">
        <v>12.522478</v>
      </c>
      <c r="D321" s="2">
        <v>27.667504999999998</v>
      </c>
      <c r="E321" s="2">
        <v>54.893051</v>
      </c>
      <c r="F321" s="8">
        <v>1287.855225</v>
      </c>
      <c r="G321" s="12">
        <f t="shared" si="36"/>
        <v>-0.13502984268775506</v>
      </c>
      <c r="H321" s="3">
        <f t="shared" si="37"/>
        <v>-4.5993801400842978E-2</v>
      </c>
      <c r="I321" s="3">
        <f t="shared" si="38"/>
        <v>4.2841427451719176E-3</v>
      </c>
      <c r="J321" s="3">
        <f t="shared" si="39"/>
        <v>-6.307617229106284E-2</v>
      </c>
      <c r="K321" s="14">
        <f t="shared" si="40"/>
        <v>-9.4803177634535836E-3</v>
      </c>
      <c r="L321" s="9">
        <v>0.1</v>
      </c>
      <c r="M321" s="2">
        <v>0.5</v>
      </c>
      <c r="N321" s="2">
        <v>0.3</v>
      </c>
      <c r="O321" s="2">
        <v>0</v>
      </c>
      <c r="P321" s="8">
        <v>0.1</v>
      </c>
      <c r="Q321" s="12">
        <f t="shared" si="33"/>
        <v>-3.1959523112689325E-5</v>
      </c>
      <c r="R321" s="3">
        <f t="shared" si="34"/>
        <v>2.1094224541164957E-4</v>
      </c>
      <c r="S321" s="14">
        <f t="shared" si="35"/>
        <v>1.4523850915361585E-2</v>
      </c>
    </row>
    <row r="322" spans="1:19" x14ac:dyDescent="0.35">
      <c r="A322" s="4">
        <v>43903</v>
      </c>
      <c r="B322" s="2">
        <v>33.200001</v>
      </c>
      <c r="C322" s="2">
        <v>12.135983</v>
      </c>
      <c r="D322" s="2">
        <v>29.067143999999999</v>
      </c>
      <c r="E322" s="2">
        <v>55.633513999999998</v>
      </c>
      <c r="F322" s="8">
        <v>1336.3165280000001</v>
      </c>
      <c r="G322" s="12">
        <f t="shared" si="36"/>
        <v>2.1002233246644571E-2</v>
      </c>
      <c r="H322" s="3">
        <f t="shared" si="37"/>
        <v>-3.1350428156184336E-2</v>
      </c>
      <c r="I322" s="3">
        <f t="shared" si="38"/>
        <v>4.9349844256097668E-2</v>
      </c>
      <c r="J322" s="3">
        <f t="shared" si="39"/>
        <v>1.33990245358384E-2</v>
      </c>
      <c r="K322" s="14">
        <f t="shared" si="40"/>
        <v>3.6938750794354554E-2</v>
      </c>
      <c r="L322" s="9">
        <v>0</v>
      </c>
      <c r="M322" s="2">
        <v>0.6</v>
      </c>
      <c r="N322" s="2">
        <v>0.3</v>
      </c>
      <c r="O322" s="2">
        <v>0</v>
      </c>
      <c r="P322" s="8">
        <v>0.1</v>
      </c>
      <c r="Q322" s="12">
        <f t="shared" si="33"/>
        <v>6.8296665636729504E-5</v>
      </c>
      <c r="R322" s="3">
        <f t="shared" si="34"/>
        <v>2.3782677922551762E-4</v>
      </c>
      <c r="S322" s="14">
        <f t="shared" si="35"/>
        <v>1.5421633481104315E-2</v>
      </c>
    </row>
    <row r="323" spans="1:19" x14ac:dyDescent="0.35">
      <c r="A323" s="4">
        <v>43907</v>
      </c>
      <c r="B323" s="2">
        <v>23</v>
      </c>
      <c r="C323" s="2">
        <v>11.585224</v>
      </c>
      <c r="D323" s="2">
        <v>31.008896</v>
      </c>
      <c r="E323" s="2">
        <v>53.224544999999999</v>
      </c>
      <c r="F323" s="8">
        <v>1398.3305660000001</v>
      </c>
      <c r="G323" s="12">
        <f t="shared" si="36"/>
        <v>-0.36705569011377459</v>
      </c>
      <c r="H323" s="3">
        <f t="shared" si="37"/>
        <v>-4.6444348209368914E-2</v>
      </c>
      <c r="I323" s="3">
        <f t="shared" si="38"/>
        <v>6.4665666929381832E-2</v>
      </c>
      <c r="J323" s="3">
        <f t="shared" si="39"/>
        <v>-4.4266127319341125E-2</v>
      </c>
      <c r="K323" s="14">
        <f t="shared" si="40"/>
        <v>4.5362103017934668E-2</v>
      </c>
      <c r="L323" s="9">
        <v>0.5</v>
      </c>
      <c r="M323" s="2">
        <v>0</v>
      </c>
      <c r="N323" s="2">
        <v>0.4</v>
      </c>
      <c r="O323" s="2">
        <v>0</v>
      </c>
      <c r="P323" s="8">
        <v>0.1</v>
      </c>
      <c r="Q323" s="12">
        <f t="shared" ref="Q323:Q386" si="41">SUMPRODUCT($U$5:$Y$5,L323:P323)</f>
        <v>-3.8849054492779496E-4</v>
      </c>
      <c r="R323" s="3">
        <f t="shared" ref="R323:R386" si="42">POWER(L323,2)*$V$9+POWER(M323,2)*$W$10+POWER(N323,2)*$X$11+POWER(O323,2)*$Y$12+POWER(P323,2)*$Z$13+2*(L323*M323*$V$10+N323*O323*$X$12+N323*P323*$X$13+$O$3*P323*$Y$13+L323*N323*$V$11+L323*O323*$V$12+L323*P323*$V$13+M323*N323*$W$11+M323*O323*$W$12+M323*P323*$W$13)</f>
        <v>3.6474699046411664E-4</v>
      </c>
      <c r="S323" s="14">
        <f t="shared" si="35"/>
        <v>1.9098350464480347E-2</v>
      </c>
    </row>
    <row r="324" spans="1:19" x14ac:dyDescent="0.35">
      <c r="A324" s="4">
        <v>43908</v>
      </c>
      <c r="B324" s="2">
        <v>17.760000000000002</v>
      </c>
      <c r="C324" s="2">
        <v>11.121428999999999</v>
      </c>
      <c r="D324" s="2">
        <v>30.585062000000001</v>
      </c>
      <c r="E324" s="2">
        <v>54.182209</v>
      </c>
      <c r="F324" s="8">
        <v>1395.97876</v>
      </c>
      <c r="G324" s="12">
        <f t="shared" si="36"/>
        <v>-0.25854547836512554</v>
      </c>
      <c r="H324" s="3">
        <f t="shared" si="37"/>
        <v>-4.085670528450748E-2</v>
      </c>
      <c r="I324" s="3">
        <f t="shared" si="38"/>
        <v>-1.3762411229755651E-2</v>
      </c>
      <c r="J324" s="3">
        <f t="shared" si="39"/>
        <v>1.783294519958277E-2</v>
      </c>
      <c r="K324" s="14">
        <f t="shared" si="40"/>
        <v>-1.6832829017361323E-3</v>
      </c>
      <c r="L324" s="9">
        <v>0.4</v>
      </c>
      <c r="M324" s="2">
        <v>0.1</v>
      </c>
      <c r="N324" s="2">
        <v>0.4</v>
      </c>
      <c r="O324" s="2">
        <v>0</v>
      </c>
      <c r="P324" s="8">
        <v>0.1</v>
      </c>
      <c r="Q324" s="12">
        <f t="shared" si="41"/>
        <v>-2.8823435617837613E-4</v>
      </c>
      <c r="R324" s="3">
        <f t="shared" si="42"/>
        <v>2.8906591199627188E-4</v>
      </c>
      <c r="S324" s="14">
        <f t="shared" ref="S324:S387" si="43">SQRT(R324)</f>
        <v>1.7001938477605189E-2</v>
      </c>
    </row>
    <row r="325" spans="1:19" x14ac:dyDescent="0.35">
      <c r="A325" s="4">
        <v>43909</v>
      </c>
      <c r="B325" s="2">
        <v>17.52</v>
      </c>
      <c r="C325" s="2">
        <v>10.367761</v>
      </c>
      <c r="D325" s="2">
        <v>31.156745999999998</v>
      </c>
      <c r="E325" s="2">
        <v>52.740772</v>
      </c>
      <c r="F325" s="8">
        <v>1398.509888</v>
      </c>
      <c r="G325" s="12">
        <f t="shared" ref="G325:G388" si="44">LN(B325/B324)</f>
        <v>-1.3605652055778709E-2</v>
      </c>
      <c r="H325" s="3">
        <f t="shared" ref="H325:H388" si="45">LN(C325/C324)</f>
        <v>-7.0172700113645098E-2</v>
      </c>
      <c r="I325" s="3">
        <f t="shared" ref="I325:I388" si="46">LN(D325/D324)</f>
        <v>1.8519066964712168E-2</v>
      </c>
      <c r="J325" s="3">
        <f t="shared" ref="J325:J388" si="47">LN(E325/E324)</f>
        <v>-2.6963788664167768E-2</v>
      </c>
      <c r="K325" s="14">
        <f t="shared" ref="K325:K388" si="48">LN(F325/F324)</f>
        <v>1.8115147427689355E-3</v>
      </c>
      <c r="L325" s="9">
        <v>0.3</v>
      </c>
      <c r="M325" s="2">
        <v>0.2</v>
      </c>
      <c r="N325" s="2">
        <v>0.4</v>
      </c>
      <c r="O325" s="2">
        <v>0</v>
      </c>
      <c r="P325" s="8">
        <v>0.1</v>
      </c>
      <c r="Q325" s="12">
        <f t="shared" si="41"/>
        <v>-1.879781674289573E-4</v>
      </c>
      <c r="R325" s="3">
        <f t="shared" si="42"/>
        <v>2.3795281360955754E-4</v>
      </c>
      <c r="S325" s="14">
        <f t="shared" si="43"/>
        <v>1.5425719225033156E-2</v>
      </c>
    </row>
    <row r="326" spans="1:19" x14ac:dyDescent="0.35">
      <c r="A326" s="4">
        <v>43910</v>
      </c>
      <c r="B326" s="2">
        <v>18.16</v>
      </c>
      <c r="C326" s="2">
        <v>10.329112</v>
      </c>
      <c r="D326" s="2">
        <v>29.964093999999999</v>
      </c>
      <c r="E326" s="2">
        <v>50.450271999999998</v>
      </c>
      <c r="F326" s="8">
        <v>1392.8695070000001</v>
      </c>
      <c r="G326" s="12">
        <f t="shared" si="44"/>
        <v>3.5878287664901851E-2</v>
      </c>
      <c r="H326" s="3">
        <f t="shared" si="45"/>
        <v>-3.7347714241351498E-3</v>
      </c>
      <c r="I326" s="3">
        <f t="shared" si="46"/>
        <v>-3.9030988616105017E-2</v>
      </c>
      <c r="J326" s="3">
        <f t="shared" si="47"/>
        <v>-4.440068040225198E-2</v>
      </c>
      <c r="K326" s="14">
        <f t="shared" si="48"/>
        <v>-4.0412913319317068E-3</v>
      </c>
      <c r="L326" s="9">
        <v>0.2</v>
      </c>
      <c r="M326" s="2">
        <v>0.3</v>
      </c>
      <c r="N326" s="2">
        <v>0.4</v>
      </c>
      <c r="O326" s="2">
        <v>0</v>
      </c>
      <c r="P326" s="8">
        <v>0.1</v>
      </c>
      <c r="Q326" s="12">
        <f t="shared" si="41"/>
        <v>-8.7721978679538502E-5</v>
      </c>
      <c r="R326" s="3">
        <f t="shared" si="42"/>
        <v>2.1140769530397373E-4</v>
      </c>
      <c r="S326" s="14">
        <f t="shared" si="43"/>
        <v>1.4539865725101237E-2</v>
      </c>
    </row>
    <row r="327" spans="1:19" x14ac:dyDescent="0.35">
      <c r="A327" s="4">
        <v>43913</v>
      </c>
      <c r="B327" s="2">
        <v>16.940000999999999</v>
      </c>
      <c r="C327" s="2">
        <v>9.8749789999999997</v>
      </c>
      <c r="D327" s="2">
        <v>29.126282</v>
      </c>
      <c r="E327" s="2">
        <v>50.874805000000002</v>
      </c>
      <c r="F327" s="8">
        <v>1398.8786620000001</v>
      </c>
      <c r="G327" s="12">
        <f t="shared" si="44"/>
        <v>-6.9543624917363503E-2</v>
      </c>
      <c r="H327" s="3">
        <f t="shared" si="45"/>
        <v>-4.4962132019912476E-2</v>
      </c>
      <c r="I327" s="3">
        <f t="shared" si="46"/>
        <v>-2.8358870094047056E-2</v>
      </c>
      <c r="J327" s="3">
        <f t="shared" si="47"/>
        <v>8.3796725697869064E-3</v>
      </c>
      <c r="K327" s="14">
        <f t="shared" si="48"/>
        <v>4.3049472349604894E-3</v>
      </c>
      <c r="L327" s="9">
        <v>0.1</v>
      </c>
      <c r="M327" s="2">
        <v>0.4</v>
      </c>
      <c r="N327" s="2">
        <v>0.4</v>
      </c>
      <c r="O327" s="2">
        <v>0</v>
      </c>
      <c r="P327" s="8">
        <v>0.1</v>
      </c>
      <c r="Q327" s="12">
        <f t="shared" si="41"/>
        <v>1.2534210069880327E-5</v>
      </c>
      <c r="R327" s="3">
        <f t="shared" si="42"/>
        <v>2.0943055707952043E-4</v>
      </c>
      <c r="S327" s="14">
        <f t="shared" si="43"/>
        <v>1.4471715761426508E-2</v>
      </c>
    </row>
    <row r="328" spans="1:19" x14ac:dyDescent="0.35">
      <c r="A328" s="4">
        <v>43914</v>
      </c>
      <c r="B328" s="2">
        <v>15.16</v>
      </c>
      <c r="C328" s="2">
        <v>10.155189</v>
      </c>
      <c r="D328" s="2">
        <v>31.531296000000001</v>
      </c>
      <c r="E328" s="2">
        <v>52.790137999999999</v>
      </c>
      <c r="F328" s="8">
        <v>1379.755249</v>
      </c>
      <c r="G328" s="12">
        <f t="shared" si="44"/>
        <v>-0.11101736804155815</v>
      </c>
      <c r="H328" s="3">
        <f t="shared" si="45"/>
        <v>2.7980622177927874E-2</v>
      </c>
      <c r="I328" s="3">
        <f t="shared" si="46"/>
        <v>7.9339648338467197E-2</v>
      </c>
      <c r="J328" s="3">
        <f t="shared" si="47"/>
        <v>3.6956582131991711E-2</v>
      </c>
      <c r="K328" s="14">
        <f t="shared" si="48"/>
        <v>-1.3764832327904403E-2</v>
      </c>
      <c r="L328" s="9">
        <v>0</v>
      </c>
      <c r="M328" s="2">
        <v>0.5</v>
      </c>
      <c r="N328" s="2">
        <v>0.4</v>
      </c>
      <c r="O328" s="2">
        <v>0</v>
      </c>
      <c r="P328" s="8">
        <v>0.1</v>
      </c>
      <c r="Q328" s="12">
        <f t="shared" si="41"/>
        <v>1.1279039881929913E-4</v>
      </c>
      <c r="R328" s="3">
        <f t="shared" si="42"/>
        <v>2.3202139893619756E-4</v>
      </c>
      <c r="S328" s="14">
        <f t="shared" si="43"/>
        <v>1.52322486500253E-2</v>
      </c>
    </row>
    <row r="329" spans="1:19" x14ac:dyDescent="0.35">
      <c r="A329" s="4">
        <v>43915</v>
      </c>
      <c r="B329" s="2">
        <v>15.79</v>
      </c>
      <c r="C329" s="2">
        <v>10.725270999999999</v>
      </c>
      <c r="D329" s="2">
        <v>33.906742000000001</v>
      </c>
      <c r="E329" s="2">
        <v>54.053863999999997</v>
      </c>
      <c r="F329" s="8">
        <v>1371.0157469999999</v>
      </c>
      <c r="G329" s="12">
        <f t="shared" si="44"/>
        <v>4.0716448053324965E-2</v>
      </c>
      <c r="H329" s="3">
        <f t="shared" si="45"/>
        <v>5.4617926179542614E-2</v>
      </c>
      <c r="I329" s="3">
        <f t="shared" si="46"/>
        <v>7.2633297245647196E-2</v>
      </c>
      <c r="J329" s="3">
        <f t="shared" si="47"/>
        <v>2.3656637928104376E-2</v>
      </c>
      <c r="K329" s="14">
        <f t="shared" si="48"/>
        <v>-6.3542413515911486E-3</v>
      </c>
      <c r="L329" s="9">
        <v>0.4</v>
      </c>
      <c r="M329" s="2">
        <v>0</v>
      </c>
      <c r="N329" s="2">
        <v>0.5</v>
      </c>
      <c r="O329" s="2">
        <v>0</v>
      </c>
      <c r="P329" s="8">
        <v>0.1</v>
      </c>
      <c r="Q329" s="12">
        <f t="shared" si="41"/>
        <v>-2.4374062299580652E-4</v>
      </c>
      <c r="R329" s="3">
        <f t="shared" si="42"/>
        <v>3.1463383350565613E-4</v>
      </c>
      <c r="S329" s="14">
        <f t="shared" si="43"/>
        <v>1.7737920777409513E-2</v>
      </c>
    </row>
    <row r="330" spans="1:19" x14ac:dyDescent="0.35">
      <c r="A330" s="4">
        <v>43916</v>
      </c>
      <c r="B330" s="2">
        <v>16.77</v>
      </c>
      <c r="C330" s="2">
        <v>11.121428999999999</v>
      </c>
      <c r="D330" s="2">
        <v>35.276809999999998</v>
      </c>
      <c r="E330" s="2">
        <v>53.115940000000002</v>
      </c>
      <c r="F330" s="8">
        <v>1367.647461</v>
      </c>
      <c r="G330" s="12">
        <f t="shared" si="44"/>
        <v>6.021474756756677E-2</v>
      </c>
      <c r="H330" s="3">
        <f t="shared" si="45"/>
        <v>3.6271055200222196E-2</v>
      </c>
      <c r="I330" s="3">
        <f t="shared" si="46"/>
        <v>3.9611933880733231E-2</v>
      </c>
      <c r="J330" s="3">
        <f t="shared" si="47"/>
        <v>-1.7503959367366408E-2</v>
      </c>
      <c r="K330" s="14">
        <f t="shared" si="48"/>
        <v>-2.4598042493993587E-3</v>
      </c>
      <c r="L330" s="9">
        <v>0.3</v>
      </c>
      <c r="M330" s="2">
        <v>0.1</v>
      </c>
      <c r="N330" s="2">
        <v>0.5</v>
      </c>
      <c r="O330" s="2">
        <v>0</v>
      </c>
      <c r="P330" s="8">
        <v>0.1</v>
      </c>
      <c r="Q330" s="12">
        <f t="shared" si="41"/>
        <v>-1.4348443424638764E-4</v>
      </c>
      <c r="R330" s="3">
        <f t="shared" si="42"/>
        <v>2.5922704316175092E-4</v>
      </c>
      <c r="S330" s="14">
        <f t="shared" si="43"/>
        <v>1.6100529282037621E-2</v>
      </c>
    </row>
    <row r="331" spans="1:19" x14ac:dyDescent="0.35">
      <c r="A331" s="4">
        <v>43917</v>
      </c>
      <c r="B331" s="2">
        <v>16.139999</v>
      </c>
      <c r="C331" s="2">
        <v>10.580334000000001</v>
      </c>
      <c r="D331" s="2">
        <v>31.117318999999998</v>
      </c>
      <c r="E331" s="2">
        <v>52.671661</v>
      </c>
      <c r="F331" s="8">
        <v>1367.8366699999999</v>
      </c>
      <c r="G331" s="12">
        <f t="shared" si="44"/>
        <v>-3.8290974951185296E-2</v>
      </c>
      <c r="H331" s="3">
        <f t="shared" si="45"/>
        <v>-4.987679283036598E-2</v>
      </c>
      <c r="I331" s="3">
        <f t="shared" si="46"/>
        <v>-0.1254612623359381</v>
      </c>
      <c r="J331" s="3">
        <f t="shared" si="47"/>
        <v>-8.3995025475253546E-3</v>
      </c>
      <c r="K331" s="14">
        <f t="shared" si="48"/>
        <v>1.3833675593823697E-4</v>
      </c>
      <c r="L331" s="9">
        <v>0.2</v>
      </c>
      <c r="M331" s="2">
        <v>0.2</v>
      </c>
      <c r="N331" s="2">
        <v>0.5</v>
      </c>
      <c r="O331" s="2">
        <v>0</v>
      </c>
      <c r="P331" s="8">
        <v>0.1</v>
      </c>
      <c r="Q331" s="12">
        <f t="shared" si="41"/>
        <v>-4.3228245496968918E-5</v>
      </c>
      <c r="R331" s="3">
        <f t="shared" si="42"/>
        <v>2.2838823289897625E-4</v>
      </c>
      <c r="S331" s="14">
        <f t="shared" si="43"/>
        <v>1.5112519078531422E-2</v>
      </c>
    </row>
    <row r="332" spans="1:19" x14ac:dyDescent="0.35">
      <c r="A332" s="4">
        <v>43920</v>
      </c>
      <c r="B332" s="2">
        <v>15.41</v>
      </c>
      <c r="C332" s="2">
        <v>10.406412</v>
      </c>
      <c r="D332" s="2">
        <v>33.788460000000001</v>
      </c>
      <c r="E332" s="2">
        <v>54.478397000000001</v>
      </c>
      <c r="F332" s="8">
        <v>1351.8126219999999</v>
      </c>
      <c r="G332" s="12">
        <f t="shared" si="44"/>
        <v>-4.6283951551907697E-2</v>
      </c>
      <c r="H332" s="3">
        <f t="shared" si="45"/>
        <v>-1.657484030286115E-2</v>
      </c>
      <c r="I332" s="3">
        <f t="shared" si="46"/>
        <v>8.2354778860082675E-2</v>
      </c>
      <c r="J332" s="3">
        <f t="shared" si="47"/>
        <v>3.3726668789884846E-2</v>
      </c>
      <c r="K332" s="14">
        <f t="shared" si="48"/>
        <v>-1.1784043976978752E-2</v>
      </c>
      <c r="L332" s="9">
        <v>0.1</v>
      </c>
      <c r="M332" s="2">
        <v>0.3</v>
      </c>
      <c r="N332" s="2">
        <v>0.5</v>
      </c>
      <c r="O332" s="2">
        <v>0</v>
      </c>
      <c r="P332" s="8">
        <v>0.1</v>
      </c>
      <c r="Q332" s="12">
        <f t="shared" si="41"/>
        <v>5.7027943252449911E-5</v>
      </c>
      <c r="R332" s="3">
        <f t="shared" si="42"/>
        <v>2.2211740271733198E-4</v>
      </c>
      <c r="S332" s="14">
        <f t="shared" si="43"/>
        <v>1.4903603682241822E-2</v>
      </c>
    </row>
    <row r="333" spans="1:19" x14ac:dyDescent="0.35">
      <c r="A333" s="4">
        <v>43921</v>
      </c>
      <c r="B333" s="2">
        <v>15.18</v>
      </c>
      <c r="C333" s="2">
        <v>10.358098999999999</v>
      </c>
      <c r="D333" s="2">
        <v>33.985591999999997</v>
      </c>
      <c r="E333" s="2">
        <v>55.041148999999997</v>
      </c>
      <c r="F333" s="8">
        <v>1399.1577150000001</v>
      </c>
      <c r="G333" s="12">
        <f t="shared" si="44"/>
        <v>-1.5037877364540559E-2</v>
      </c>
      <c r="H333" s="3">
        <f t="shared" si="45"/>
        <v>-4.6534288413906926E-3</v>
      </c>
      <c r="I333" s="3">
        <f t="shared" si="46"/>
        <v>5.8173460231301724E-3</v>
      </c>
      <c r="J333" s="3">
        <f t="shared" si="47"/>
        <v>1.0276831367267762E-2</v>
      </c>
      <c r="K333" s="14">
        <f t="shared" si="48"/>
        <v>3.4424048604534532E-2</v>
      </c>
      <c r="L333" s="9">
        <v>0</v>
      </c>
      <c r="M333" s="2">
        <v>0.4</v>
      </c>
      <c r="N333" s="2">
        <v>0.5</v>
      </c>
      <c r="O333" s="2">
        <v>0</v>
      </c>
      <c r="P333" s="8">
        <v>0.1</v>
      </c>
      <c r="Q333" s="12">
        <f t="shared" si="41"/>
        <v>1.5728413200186874E-4</v>
      </c>
      <c r="R333" s="3">
        <f t="shared" si="42"/>
        <v>2.4041455261681829E-4</v>
      </c>
      <c r="S333" s="14">
        <f t="shared" si="43"/>
        <v>1.5505307240323176E-2</v>
      </c>
    </row>
    <row r="334" spans="1:19" x14ac:dyDescent="0.35">
      <c r="A334" s="4">
        <v>43922</v>
      </c>
      <c r="B334" s="2">
        <v>15.2</v>
      </c>
      <c r="C334" s="2">
        <v>10.628646</v>
      </c>
      <c r="D334" s="2">
        <v>32.280399000000003</v>
      </c>
      <c r="E334" s="2">
        <v>55.386696000000001</v>
      </c>
      <c r="F334" s="8">
        <v>1393.4674070000001</v>
      </c>
      <c r="G334" s="12">
        <f t="shared" si="44"/>
        <v>1.3166558847469028E-3</v>
      </c>
      <c r="H334" s="3">
        <f t="shared" si="45"/>
        <v>2.5784083102431427E-2</v>
      </c>
      <c r="I334" s="3">
        <f t="shared" si="46"/>
        <v>-5.1476466176489717E-2</v>
      </c>
      <c r="J334" s="3">
        <f t="shared" si="47"/>
        <v>6.2583513756840643E-3</v>
      </c>
      <c r="K334" s="14">
        <f t="shared" si="48"/>
        <v>-4.0752450662835619E-3</v>
      </c>
      <c r="L334" s="9">
        <v>0.3</v>
      </c>
      <c r="M334" s="2">
        <v>0</v>
      </c>
      <c r="N334" s="2">
        <v>0.6</v>
      </c>
      <c r="O334" s="2">
        <v>0</v>
      </c>
      <c r="P334" s="8">
        <v>0.1</v>
      </c>
      <c r="Q334" s="12">
        <f t="shared" si="41"/>
        <v>-9.8990701063818054E-5</v>
      </c>
      <c r="R334" s="3">
        <f t="shared" si="42"/>
        <v>2.9469980668388505E-4</v>
      </c>
      <c r="S334" s="14">
        <f t="shared" si="43"/>
        <v>1.7166822847687484E-2</v>
      </c>
    </row>
    <row r="335" spans="1:19" x14ac:dyDescent="0.35">
      <c r="A335" s="4">
        <v>43923</v>
      </c>
      <c r="B335" s="2">
        <v>14.9</v>
      </c>
      <c r="C335" s="2">
        <v>10.145526</v>
      </c>
      <c r="D335" s="2">
        <v>32.743659999999998</v>
      </c>
      <c r="E335" s="2">
        <v>54.735087999999998</v>
      </c>
      <c r="F335" s="8">
        <v>1381.2501219999999</v>
      </c>
      <c r="G335" s="12">
        <f t="shared" si="44"/>
        <v>-1.9934214900817138E-2</v>
      </c>
      <c r="H335" s="3">
        <f t="shared" si="45"/>
        <v>-4.6519988753361406E-2</v>
      </c>
      <c r="I335" s="3">
        <f t="shared" si="46"/>
        <v>1.4249151634314993E-2</v>
      </c>
      <c r="J335" s="3">
        <f t="shared" si="47"/>
        <v>-1.1834454207978599E-2</v>
      </c>
      <c r="K335" s="14">
        <f t="shared" si="48"/>
        <v>-8.8062037491188593E-3</v>
      </c>
      <c r="L335" s="9">
        <v>0.2</v>
      </c>
      <c r="M335" s="2">
        <v>0.1</v>
      </c>
      <c r="N335" s="2">
        <v>0.6</v>
      </c>
      <c r="O335" s="2">
        <v>0</v>
      </c>
      <c r="P335" s="8">
        <v>0.1</v>
      </c>
      <c r="Q335" s="12">
        <f t="shared" si="41"/>
        <v>1.2654876856007201E-6</v>
      </c>
      <c r="R335" s="3">
        <f t="shared" si="42"/>
        <v>2.5956730446391956E-4</v>
      </c>
      <c r="S335" s="14">
        <f t="shared" si="43"/>
        <v>1.6111092590632068E-2</v>
      </c>
    </row>
    <row r="336" spans="1:19" x14ac:dyDescent="0.35">
      <c r="A336" s="4">
        <v>43924</v>
      </c>
      <c r="B336" s="2">
        <v>14.27</v>
      </c>
      <c r="C336" s="2">
        <v>9.9329529999999995</v>
      </c>
      <c r="D336" s="2">
        <v>31.05818</v>
      </c>
      <c r="E336" s="2">
        <v>54.221699000000001</v>
      </c>
      <c r="F336" s="8">
        <v>1388.8000489999999</v>
      </c>
      <c r="G336" s="12">
        <f t="shared" si="44"/>
        <v>-4.3201781462668426E-2</v>
      </c>
      <c r="H336" s="3">
        <f t="shared" si="45"/>
        <v>-2.1175004615172625E-2</v>
      </c>
      <c r="I336" s="3">
        <f t="shared" si="46"/>
        <v>-5.2847135816047337E-2</v>
      </c>
      <c r="J336" s="3">
        <f t="shared" si="47"/>
        <v>-9.4237874214364598E-3</v>
      </c>
      <c r="K336" s="14">
        <f t="shared" si="48"/>
        <v>5.4511255964923237E-3</v>
      </c>
      <c r="L336" s="9">
        <v>0.1</v>
      </c>
      <c r="M336" s="2">
        <v>0.2</v>
      </c>
      <c r="N336" s="2">
        <v>0.6</v>
      </c>
      <c r="O336" s="2">
        <v>0</v>
      </c>
      <c r="P336" s="8">
        <v>0.1</v>
      </c>
      <c r="Q336" s="12">
        <f t="shared" si="41"/>
        <v>1.0152167643501955E-4</v>
      </c>
      <c r="R336" s="3">
        <f t="shared" si="42"/>
        <v>2.4900278232508439E-4</v>
      </c>
      <c r="S336" s="14">
        <f t="shared" si="43"/>
        <v>1.5779821999157163E-2</v>
      </c>
    </row>
    <row r="337" spans="1:19" x14ac:dyDescent="0.35">
      <c r="A337" s="4">
        <v>43927</v>
      </c>
      <c r="B337" s="2">
        <v>14.34</v>
      </c>
      <c r="C337" s="2">
        <v>10.029577</v>
      </c>
      <c r="D337" s="2">
        <v>31.215885</v>
      </c>
      <c r="E337" s="2">
        <v>54.508011000000003</v>
      </c>
      <c r="F337" s="8">
        <v>1384.0699460000001</v>
      </c>
      <c r="G337" s="12">
        <f t="shared" si="44"/>
        <v>4.8934036827293567E-3</v>
      </c>
      <c r="H337" s="3">
        <f t="shared" si="45"/>
        <v>9.6806120853385174E-3</v>
      </c>
      <c r="I337" s="3">
        <f t="shared" si="46"/>
        <v>5.064880127348589E-3</v>
      </c>
      <c r="J337" s="3">
        <f t="shared" si="47"/>
        <v>5.2665028125872988E-3</v>
      </c>
      <c r="K337" s="14">
        <f t="shared" si="48"/>
        <v>-3.4117052704402367E-3</v>
      </c>
      <c r="L337" s="9">
        <v>0</v>
      </c>
      <c r="M337" s="2">
        <v>0.3</v>
      </c>
      <c r="N337" s="2">
        <v>0.6</v>
      </c>
      <c r="O337" s="2">
        <v>0</v>
      </c>
      <c r="P337" s="8">
        <v>0.1</v>
      </c>
      <c r="Q337" s="12">
        <f t="shared" si="41"/>
        <v>2.0177786518443835E-4</v>
      </c>
      <c r="R337" s="3">
        <f t="shared" si="42"/>
        <v>2.6300624026737981E-4</v>
      </c>
      <c r="S337" s="14">
        <f t="shared" si="43"/>
        <v>1.6217467134771072E-2</v>
      </c>
    </row>
    <row r="338" spans="1:19" x14ac:dyDescent="0.35">
      <c r="A338" s="4">
        <v>43928</v>
      </c>
      <c r="B338" s="2">
        <v>14.99</v>
      </c>
      <c r="C338" s="2">
        <v>10.532022</v>
      </c>
      <c r="D338" s="2">
        <v>32.250832000000003</v>
      </c>
      <c r="E338" s="2">
        <v>54.873309999999996</v>
      </c>
      <c r="F338" s="8">
        <v>1380.829956</v>
      </c>
      <c r="G338" s="12">
        <f t="shared" si="44"/>
        <v>4.433047694303207E-2</v>
      </c>
      <c r="H338" s="3">
        <f t="shared" si="45"/>
        <v>4.8881902898933675E-2</v>
      </c>
      <c r="I338" s="3">
        <f t="shared" si="46"/>
        <v>3.2616741492851091E-2</v>
      </c>
      <c r="J338" s="3">
        <f t="shared" si="47"/>
        <v>6.6793919617813245E-3</v>
      </c>
      <c r="K338" s="14">
        <f t="shared" si="48"/>
        <v>-2.3436591543085678E-3</v>
      </c>
      <c r="L338" s="9">
        <v>0.2</v>
      </c>
      <c r="M338" s="2">
        <v>0</v>
      </c>
      <c r="N338" s="2">
        <v>0.7</v>
      </c>
      <c r="O338" s="2">
        <v>0</v>
      </c>
      <c r="P338" s="8">
        <v>0.1</v>
      </c>
      <c r="Q338" s="12">
        <f t="shared" si="41"/>
        <v>4.5759220868170331E-5</v>
      </c>
      <c r="R338" s="3">
        <f t="shared" si="42"/>
        <v>3.0494490999880361E-4</v>
      </c>
      <c r="S338" s="14">
        <f t="shared" si="43"/>
        <v>1.7462671903199795E-2</v>
      </c>
    </row>
    <row r="339" spans="1:19" x14ac:dyDescent="0.35">
      <c r="A339" s="4">
        <v>43929</v>
      </c>
      <c r="B339" s="2">
        <v>14.59</v>
      </c>
      <c r="C339" s="2">
        <v>10.609322000000001</v>
      </c>
      <c r="D339" s="2">
        <v>32.980217000000003</v>
      </c>
      <c r="E339" s="2">
        <v>55.712502000000001</v>
      </c>
      <c r="F339" s="8">
        <v>1382.829956</v>
      </c>
      <c r="G339" s="12">
        <f t="shared" si="44"/>
        <v>-2.7046949579812053E-2</v>
      </c>
      <c r="H339" s="3">
        <f t="shared" si="45"/>
        <v>7.3127181009180874E-3</v>
      </c>
      <c r="I339" s="3">
        <f t="shared" si="46"/>
        <v>2.236405549648695E-2</v>
      </c>
      <c r="J339" s="3">
        <f t="shared" si="47"/>
        <v>1.5177500516685E-2</v>
      </c>
      <c r="K339" s="14">
        <f t="shared" si="48"/>
        <v>1.4473563411009905E-3</v>
      </c>
      <c r="L339" s="9">
        <v>0.1</v>
      </c>
      <c r="M339" s="2">
        <v>0.1</v>
      </c>
      <c r="N339" s="2">
        <v>0.7</v>
      </c>
      <c r="O339" s="2">
        <v>0</v>
      </c>
      <c r="P339" s="8">
        <v>0.1</v>
      </c>
      <c r="Q339" s="12">
        <f t="shared" si="41"/>
        <v>1.4601540961758913E-4</v>
      </c>
      <c r="R339" s="3">
        <f t="shared" si="42"/>
        <v>2.9008669590277762E-4</v>
      </c>
      <c r="S339" s="14">
        <f t="shared" si="43"/>
        <v>1.7031931655064191E-2</v>
      </c>
    </row>
    <row r="340" spans="1:19" x14ac:dyDescent="0.35">
      <c r="A340" s="4">
        <v>43934</v>
      </c>
      <c r="B340" s="2">
        <v>14.18</v>
      </c>
      <c r="C340" s="2">
        <v>10.638309</v>
      </c>
      <c r="D340" s="2">
        <v>31.826996000000001</v>
      </c>
      <c r="E340" s="2">
        <v>56.680038000000003</v>
      </c>
      <c r="F340" s="8">
        <v>1395.75</v>
      </c>
      <c r="G340" s="12">
        <f t="shared" si="44"/>
        <v>-2.8503841430712905E-2</v>
      </c>
      <c r="H340" s="3">
        <f t="shared" si="45"/>
        <v>2.7284941067776025E-3</v>
      </c>
      <c r="I340" s="3">
        <f t="shared" si="46"/>
        <v>-3.5593036389324921E-2</v>
      </c>
      <c r="J340" s="3">
        <f t="shared" si="47"/>
        <v>1.7217511081481979E-2</v>
      </c>
      <c r="K340" s="14">
        <f t="shared" si="48"/>
        <v>9.2998130857744384E-3</v>
      </c>
      <c r="L340" s="9">
        <v>0</v>
      </c>
      <c r="M340" s="2">
        <v>0.2</v>
      </c>
      <c r="N340" s="2">
        <v>0.7</v>
      </c>
      <c r="O340" s="2">
        <v>0</v>
      </c>
      <c r="P340" s="8">
        <v>0.1</v>
      </c>
      <c r="Q340" s="12">
        <f t="shared" si="41"/>
        <v>2.4627159836700796E-4</v>
      </c>
      <c r="R340" s="3">
        <f t="shared" si="42"/>
        <v>2.9979646188788212E-4</v>
      </c>
      <c r="S340" s="14">
        <f t="shared" si="43"/>
        <v>1.7314631439562383E-2</v>
      </c>
    </row>
    <row r="341" spans="1:19" x14ac:dyDescent="0.35">
      <c r="A341" s="4">
        <v>43935</v>
      </c>
      <c r="B341" s="2">
        <v>14.11</v>
      </c>
      <c r="C341" s="2">
        <v>10.676959999999999</v>
      </c>
      <c r="D341" s="2">
        <v>33.167496</v>
      </c>
      <c r="E341" s="2">
        <v>55.130004999999997</v>
      </c>
      <c r="F341" s="8">
        <v>1401.660034</v>
      </c>
      <c r="G341" s="12">
        <f t="shared" si="44"/>
        <v>-4.9487552392587968E-3</v>
      </c>
      <c r="H341" s="3">
        <f t="shared" si="45"/>
        <v>3.626606106858232E-3</v>
      </c>
      <c r="I341" s="3">
        <f t="shared" si="46"/>
        <v>4.1255499743160735E-2</v>
      </c>
      <c r="J341" s="3">
        <f t="shared" si="47"/>
        <v>-2.7727961956432338E-2</v>
      </c>
      <c r="K341" s="14">
        <f t="shared" si="48"/>
        <v>4.2253675515417826E-3</v>
      </c>
      <c r="L341" s="9">
        <v>0.1</v>
      </c>
      <c r="M341" s="2">
        <v>0</v>
      </c>
      <c r="N341" s="2">
        <v>0.8</v>
      </c>
      <c r="O341" s="2">
        <v>0</v>
      </c>
      <c r="P341" s="8">
        <v>0.1</v>
      </c>
      <c r="Q341" s="12">
        <f t="shared" si="41"/>
        <v>1.905091428001588E-4</v>
      </c>
      <c r="R341" s="3">
        <f t="shared" si="42"/>
        <v>3.4536914345041181E-4</v>
      </c>
      <c r="S341" s="14">
        <f t="shared" si="43"/>
        <v>1.8584109971973687E-2</v>
      </c>
    </row>
    <row r="342" spans="1:19" x14ac:dyDescent="0.35">
      <c r="A342" s="4">
        <v>43936</v>
      </c>
      <c r="B342" s="2">
        <v>14.52</v>
      </c>
      <c r="C342" s="2">
        <v>10.647971999999999</v>
      </c>
      <c r="D342" s="2">
        <v>32.043838999999998</v>
      </c>
      <c r="E342" s="2">
        <v>53.757674999999999</v>
      </c>
      <c r="F342" s="8">
        <v>1402.599976</v>
      </c>
      <c r="G342" s="12">
        <f t="shared" si="44"/>
        <v>2.864324353192749E-2</v>
      </c>
      <c r="H342" s="3">
        <f t="shared" si="45"/>
        <v>-2.7186973308943123E-3</v>
      </c>
      <c r="I342" s="3">
        <f t="shared" si="46"/>
        <v>-3.4465426210224727E-2</v>
      </c>
      <c r="J342" s="3">
        <f t="shared" si="47"/>
        <v>-2.520767578448432E-2</v>
      </c>
      <c r="K342" s="14">
        <f t="shared" si="48"/>
        <v>6.7036724971887096E-4</v>
      </c>
      <c r="L342" s="9">
        <v>0</v>
      </c>
      <c r="M342" s="2">
        <v>0.1</v>
      </c>
      <c r="N342" s="2">
        <v>0.8</v>
      </c>
      <c r="O342" s="2">
        <v>0</v>
      </c>
      <c r="P342" s="8">
        <v>0.1</v>
      </c>
      <c r="Q342" s="12">
        <f t="shared" si="41"/>
        <v>2.9076533154957763E-4</v>
      </c>
      <c r="R342" s="3">
        <f t="shared" si="42"/>
        <v>3.5078521747832544E-4</v>
      </c>
      <c r="S342" s="14">
        <f t="shared" si="43"/>
        <v>1.8729260996588344E-2</v>
      </c>
    </row>
    <row r="343" spans="1:19" x14ac:dyDescent="0.35">
      <c r="A343" s="4">
        <v>43937</v>
      </c>
      <c r="B343" s="2">
        <v>14.78</v>
      </c>
      <c r="C343" s="2">
        <v>10.84122</v>
      </c>
      <c r="D343" s="2">
        <v>31.767855000000001</v>
      </c>
      <c r="E343" s="2">
        <v>54.438904000000001</v>
      </c>
      <c r="F343" s="8">
        <v>1407.900024</v>
      </c>
      <c r="G343" s="12">
        <f t="shared" si="44"/>
        <v>1.7747906123405589E-2</v>
      </c>
      <c r="H343" s="3">
        <f t="shared" si="45"/>
        <v>1.7986084316571508E-2</v>
      </c>
      <c r="I343" s="3">
        <f t="shared" si="46"/>
        <v>-8.6500045216598744E-3</v>
      </c>
      <c r="J343" s="3">
        <f t="shared" si="47"/>
        <v>1.2592597813089154E-2</v>
      </c>
      <c r="K343" s="14">
        <f t="shared" si="48"/>
        <v>3.7716095234162804E-3</v>
      </c>
      <c r="L343" s="9">
        <v>0</v>
      </c>
      <c r="M343" s="2">
        <v>0</v>
      </c>
      <c r="N343" s="2">
        <v>0.9</v>
      </c>
      <c r="O343" s="2">
        <v>0</v>
      </c>
      <c r="P343" s="8">
        <v>0.1</v>
      </c>
      <c r="Q343" s="12">
        <f t="shared" si="41"/>
        <v>3.3525906473214724E-4</v>
      </c>
      <c r="R343" s="3">
        <f t="shared" si="42"/>
        <v>4.1597250703870933E-4</v>
      </c>
      <c r="S343" s="14">
        <f t="shared" si="43"/>
        <v>2.0395404066571206E-2</v>
      </c>
    </row>
    <row r="344" spans="1:19" x14ac:dyDescent="0.35">
      <c r="A344" s="4">
        <v>43938</v>
      </c>
      <c r="B344" s="2">
        <v>16.649999999999999</v>
      </c>
      <c r="C344" s="2">
        <v>10.986155999999999</v>
      </c>
      <c r="D344" s="2">
        <v>32.990074</v>
      </c>
      <c r="E344" s="2">
        <v>57.193427999999997</v>
      </c>
      <c r="F344" s="8">
        <v>1391.630005</v>
      </c>
      <c r="G344" s="12">
        <f t="shared" si="44"/>
        <v>0.11913530090639717</v>
      </c>
      <c r="H344" s="3">
        <f t="shared" si="45"/>
        <v>1.328039890625975E-2</v>
      </c>
      <c r="I344" s="3">
        <f t="shared" si="46"/>
        <v>3.775179886488722E-2</v>
      </c>
      <c r="J344" s="3">
        <f t="shared" si="47"/>
        <v>4.9359951354994373E-2</v>
      </c>
      <c r="K344" s="14">
        <f t="shared" si="48"/>
        <v>-1.1623523957877123E-2</v>
      </c>
      <c r="L344" s="9">
        <v>0.8</v>
      </c>
      <c r="M344" s="2">
        <v>0</v>
      </c>
      <c r="N344" s="2">
        <v>0</v>
      </c>
      <c r="O344" s="2">
        <v>0.1</v>
      </c>
      <c r="P344" s="8">
        <v>0.1</v>
      </c>
      <c r="Q344" s="12">
        <f t="shared" si="41"/>
        <v>-8.2493843879181744E-4</v>
      </c>
      <c r="R344" s="3">
        <f t="shared" si="42"/>
        <v>6.9922764068772441E-4</v>
      </c>
      <c r="S344" s="14">
        <f t="shared" si="43"/>
        <v>2.6442912863142071E-2</v>
      </c>
    </row>
    <row r="345" spans="1:19" x14ac:dyDescent="0.35">
      <c r="A345" s="4">
        <v>43941</v>
      </c>
      <c r="B345" s="2">
        <v>16.239999999999998</v>
      </c>
      <c r="C345" s="2">
        <v>11.218052999999999</v>
      </c>
      <c r="D345" s="2">
        <v>31.462299000000002</v>
      </c>
      <c r="E345" s="2">
        <v>56.640545000000003</v>
      </c>
      <c r="F345" s="8">
        <v>1404.959961</v>
      </c>
      <c r="G345" s="12">
        <f t="shared" si="44"/>
        <v>-2.4932881692920988E-2</v>
      </c>
      <c r="H345" s="3">
        <f t="shared" si="45"/>
        <v>2.0888420914433908E-2</v>
      </c>
      <c r="I345" s="3">
        <f t="shared" si="46"/>
        <v>-4.7416756458724771E-2</v>
      </c>
      <c r="J345" s="3">
        <f t="shared" si="47"/>
        <v>-9.7139251655960664E-3</v>
      </c>
      <c r="K345" s="14">
        <f t="shared" si="48"/>
        <v>9.5330792956180525E-3</v>
      </c>
      <c r="L345" s="9">
        <v>0.7</v>
      </c>
      <c r="M345" s="2">
        <v>0.1</v>
      </c>
      <c r="N345" s="2">
        <v>0</v>
      </c>
      <c r="O345" s="2">
        <v>0.1</v>
      </c>
      <c r="P345" s="8">
        <v>0.1</v>
      </c>
      <c r="Q345" s="12">
        <f t="shared" si="41"/>
        <v>-7.2468225004239861E-4</v>
      </c>
      <c r="R345" s="3">
        <f t="shared" si="42"/>
        <v>5.6138520374161372E-4</v>
      </c>
      <c r="S345" s="14">
        <f t="shared" si="43"/>
        <v>2.369356882661651E-2</v>
      </c>
    </row>
    <row r="346" spans="1:19" x14ac:dyDescent="0.35">
      <c r="A346" s="4">
        <v>43942</v>
      </c>
      <c r="B346" s="2">
        <v>16.190000999999999</v>
      </c>
      <c r="C346" s="2">
        <v>10.59966</v>
      </c>
      <c r="D346" s="2">
        <v>31.915704999999999</v>
      </c>
      <c r="E346" s="2">
        <v>55.179366999999999</v>
      </c>
      <c r="F346" s="8">
        <v>1400.349976</v>
      </c>
      <c r="G346" s="12">
        <f t="shared" si="44"/>
        <v>-3.0835052774674456E-3</v>
      </c>
      <c r="H346" s="3">
        <f t="shared" si="45"/>
        <v>-5.6702430492920737E-2</v>
      </c>
      <c r="I346" s="3">
        <f t="shared" si="46"/>
        <v>1.4308236507188182E-2</v>
      </c>
      <c r="J346" s="3">
        <f t="shared" si="47"/>
        <v>-2.6135974338633676E-2</v>
      </c>
      <c r="K346" s="14">
        <f t="shared" si="48"/>
        <v>-3.2866166329029592E-3</v>
      </c>
      <c r="L346" s="9">
        <v>0.6</v>
      </c>
      <c r="M346" s="2">
        <v>0.2</v>
      </c>
      <c r="N346" s="2">
        <v>0</v>
      </c>
      <c r="O346" s="2">
        <v>0.1</v>
      </c>
      <c r="P346" s="8">
        <v>0.1</v>
      </c>
      <c r="Q346" s="12">
        <f t="shared" si="41"/>
        <v>-6.2442606129297967E-4</v>
      </c>
      <c r="R346" s="3">
        <f t="shared" si="42"/>
        <v>4.4811074687663372E-4</v>
      </c>
      <c r="S346" s="14">
        <f t="shared" si="43"/>
        <v>2.1168626475910848E-2</v>
      </c>
    </row>
    <row r="347" spans="1:19" x14ac:dyDescent="0.35">
      <c r="A347" s="4">
        <v>43943</v>
      </c>
      <c r="B347" s="2">
        <v>17.739999999999998</v>
      </c>
      <c r="C347" s="2">
        <v>10.435399</v>
      </c>
      <c r="D347" s="2">
        <v>32.280399000000003</v>
      </c>
      <c r="E347" s="2">
        <v>55.781612000000003</v>
      </c>
      <c r="F347" s="8">
        <v>1385.2700199999999</v>
      </c>
      <c r="G347" s="12">
        <f t="shared" si="44"/>
        <v>9.1428147425368964E-2</v>
      </c>
      <c r="H347" s="3">
        <f t="shared" si="45"/>
        <v>-1.561814863033246E-2</v>
      </c>
      <c r="I347" s="3">
        <f t="shared" si="46"/>
        <v>1.1361995529743383E-2</v>
      </c>
      <c r="J347" s="3">
        <f t="shared" si="47"/>
        <v>1.0855183853130676E-2</v>
      </c>
      <c r="K347" s="14">
        <f t="shared" si="48"/>
        <v>-1.0827107312024568E-2</v>
      </c>
      <c r="L347" s="9">
        <v>0.5</v>
      </c>
      <c r="M347" s="2">
        <v>0.3</v>
      </c>
      <c r="N347" s="2">
        <v>0</v>
      </c>
      <c r="O347" s="2">
        <v>0.1</v>
      </c>
      <c r="P347" s="8">
        <v>0.1</v>
      </c>
      <c r="Q347" s="12">
        <f t="shared" si="41"/>
        <v>-5.2416987254356095E-4</v>
      </c>
      <c r="R347" s="3">
        <f t="shared" si="42"/>
        <v>3.5940427009278415E-4</v>
      </c>
      <c r="S347" s="14">
        <f t="shared" si="43"/>
        <v>1.8957960599515555E-2</v>
      </c>
    </row>
    <row r="348" spans="1:19" x14ac:dyDescent="0.35">
      <c r="A348" s="4">
        <v>43944</v>
      </c>
      <c r="B348" s="2">
        <v>20.350000000000001</v>
      </c>
      <c r="C348" s="2">
        <v>10.338775</v>
      </c>
      <c r="D348" s="2">
        <v>31.452444</v>
      </c>
      <c r="E348" s="2">
        <v>54.715339999999998</v>
      </c>
      <c r="F348" s="8">
        <v>1402.910034</v>
      </c>
      <c r="G348" s="12">
        <f t="shared" si="44"/>
        <v>0.13725893500717076</v>
      </c>
      <c r="H348" s="3">
        <f t="shared" si="45"/>
        <v>-9.3023863932134628E-3</v>
      </c>
      <c r="I348" s="3">
        <f t="shared" si="46"/>
        <v>-2.5983513141190566E-2</v>
      </c>
      <c r="J348" s="3">
        <f t="shared" si="47"/>
        <v>-1.930017215961654E-2</v>
      </c>
      <c r="K348" s="14">
        <f t="shared" si="48"/>
        <v>1.2653594118510693E-2</v>
      </c>
      <c r="L348" s="9">
        <v>0.4</v>
      </c>
      <c r="M348" s="2">
        <v>0.4</v>
      </c>
      <c r="N348" s="2">
        <v>0</v>
      </c>
      <c r="O348" s="2">
        <v>0.1</v>
      </c>
      <c r="P348" s="8">
        <v>0.1</v>
      </c>
      <c r="Q348" s="12">
        <f t="shared" si="41"/>
        <v>-4.2391368379414223E-4</v>
      </c>
      <c r="R348" s="3">
        <f t="shared" si="42"/>
        <v>2.9526577339006516E-4</v>
      </c>
      <c r="S348" s="14">
        <f t="shared" si="43"/>
        <v>1.7183299258002379E-2</v>
      </c>
    </row>
    <row r="349" spans="1:19" x14ac:dyDescent="0.35">
      <c r="A349" s="4">
        <v>43945</v>
      </c>
      <c r="B349" s="2">
        <v>21.48</v>
      </c>
      <c r="C349" s="2">
        <v>10.445061000000001</v>
      </c>
      <c r="D349" s="2">
        <v>32.162120999999999</v>
      </c>
      <c r="E349" s="2">
        <v>56.314746999999997</v>
      </c>
      <c r="F349" s="8">
        <v>1395.150024</v>
      </c>
      <c r="G349" s="12">
        <f t="shared" si="44"/>
        <v>5.4041357752059885E-2</v>
      </c>
      <c r="H349" s="3">
        <f t="shared" si="45"/>
        <v>1.0227844998014718E-2</v>
      </c>
      <c r="I349" s="3">
        <f t="shared" si="46"/>
        <v>2.2312702849637277E-2</v>
      </c>
      <c r="J349" s="3">
        <f t="shared" si="47"/>
        <v>2.8812328034030329E-2</v>
      </c>
      <c r="K349" s="14">
        <f t="shared" si="48"/>
        <v>-5.5467214674338981E-3</v>
      </c>
      <c r="L349" s="9">
        <v>0.3</v>
      </c>
      <c r="M349" s="2">
        <v>0.5</v>
      </c>
      <c r="N349" s="2">
        <v>0</v>
      </c>
      <c r="O349" s="2">
        <v>0.1</v>
      </c>
      <c r="P349" s="8">
        <v>0.1</v>
      </c>
      <c r="Q349" s="12">
        <f t="shared" si="41"/>
        <v>-3.2365749504472335E-4</v>
      </c>
      <c r="R349" s="3">
        <f t="shared" si="42"/>
        <v>2.556952567684765E-4</v>
      </c>
      <c r="S349" s="14">
        <f t="shared" si="43"/>
        <v>1.5990473938206975E-2</v>
      </c>
    </row>
    <row r="350" spans="1:19" x14ac:dyDescent="0.35">
      <c r="A350" s="4">
        <v>43948</v>
      </c>
      <c r="B350" s="2">
        <v>19.959999</v>
      </c>
      <c r="C350" s="2">
        <v>10.280799999999999</v>
      </c>
      <c r="D350" s="2">
        <v>32.674664</v>
      </c>
      <c r="E350" s="2">
        <v>56.709656000000003</v>
      </c>
      <c r="F350" s="8">
        <v>1392.619995</v>
      </c>
      <c r="G350" s="12">
        <f t="shared" si="44"/>
        <v>-7.3392048857547687E-2</v>
      </c>
      <c r="H350" s="3">
        <f t="shared" si="45"/>
        <v>-1.5851157095569033E-2</v>
      </c>
      <c r="I350" s="3">
        <f t="shared" si="46"/>
        <v>1.581058273776725E-2</v>
      </c>
      <c r="J350" s="3">
        <f t="shared" si="47"/>
        <v>6.988059154747291E-3</v>
      </c>
      <c r="K350" s="14">
        <f t="shared" si="48"/>
        <v>-1.8150921183365367E-3</v>
      </c>
      <c r="L350" s="9">
        <v>0.2</v>
      </c>
      <c r="M350" s="2">
        <v>0.6</v>
      </c>
      <c r="N350" s="2">
        <v>0</v>
      </c>
      <c r="O350" s="2">
        <v>0.1</v>
      </c>
      <c r="P350" s="8">
        <v>0.1</v>
      </c>
      <c r="Q350" s="12">
        <f t="shared" si="41"/>
        <v>-2.2340130629530463E-4</v>
      </c>
      <c r="R350" s="3">
        <f t="shared" si="42"/>
        <v>2.406927202280184E-4</v>
      </c>
      <c r="S350" s="14">
        <f t="shared" si="43"/>
        <v>1.5514274724524456E-2</v>
      </c>
    </row>
    <row r="351" spans="1:19" x14ac:dyDescent="0.35">
      <c r="A351" s="4">
        <v>43949</v>
      </c>
      <c r="B351" s="2">
        <v>18.850000000000001</v>
      </c>
      <c r="C351" s="2">
        <v>10.493372000000001</v>
      </c>
      <c r="D351" s="2">
        <v>35.956913</v>
      </c>
      <c r="E351" s="2">
        <v>59.306221000000001</v>
      </c>
      <c r="F351" s="8">
        <v>1394.1999510000001</v>
      </c>
      <c r="G351" s="12">
        <f t="shared" si="44"/>
        <v>-5.7217306889096459E-2</v>
      </c>
      <c r="H351" s="3">
        <f t="shared" si="45"/>
        <v>2.0465741742797919E-2</v>
      </c>
      <c r="I351" s="3">
        <f t="shared" si="46"/>
        <v>9.572138416836784E-2</v>
      </c>
      <c r="J351" s="3">
        <f t="shared" si="47"/>
        <v>4.4769711694592894E-2</v>
      </c>
      <c r="K351" s="14">
        <f t="shared" si="48"/>
        <v>1.1338774659941995E-3</v>
      </c>
      <c r="L351" s="9">
        <v>0.1</v>
      </c>
      <c r="M351" s="2">
        <v>0.7</v>
      </c>
      <c r="N351" s="2">
        <v>0</v>
      </c>
      <c r="O351" s="2">
        <v>0.1</v>
      </c>
      <c r="P351" s="8">
        <v>0.1</v>
      </c>
      <c r="Q351" s="12">
        <f t="shared" si="41"/>
        <v>-1.2314511754588575E-4</v>
      </c>
      <c r="R351" s="3">
        <f t="shared" si="42"/>
        <v>2.5025816376869078E-4</v>
      </c>
      <c r="S351" s="14">
        <f t="shared" si="43"/>
        <v>1.5819550049501748E-2</v>
      </c>
    </row>
    <row r="352" spans="1:19" x14ac:dyDescent="0.35">
      <c r="A352" s="4">
        <v>43950</v>
      </c>
      <c r="B352" s="2">
        <v>19.459999</v>
      </c>
      <c r="C352" s="2">
        <v>10.986155999999999</v>
      </c>
      <c r="D352" s="2">
        <v>34.409427999999998</v>
      </c>
      <c r="E352" s="2">
        <v>59.335835000000003</v>
      </c>
      <c r="F352" s="8">
        <v>1390.6400149999999</v>
      </c>
      <c r="G352" s="12">
        <f t="shared" si="44"/>
        <v>3.1848111476376291E-2</v>
      </c>
      <c r="H352" s="3">
        <f t="shared" si="45"/>
        <v>4.5892114956789097E-2</v>
      </c>
      <c r="I352" s="3">
        <f t="shared" si="46"/>
        <v>-4.3990763938197425E-2</v>
      </c>
      <c r="J352" s="3">
        <f t="shared" si="47"/>
        <v>4.9921590392912004E-4</v>
      </c>
      <c r="K352" s="14">
        <f t="shared" si="48"/>
        <v>-2.5566553070092398E-3</v>
      </c>
      <c r="L352" s="9">
        <v>0</v>
      </c>
      <c r="M352" s="2">
        <v>0.8</v>
      </c>
      <c r="N352" s="2">
        <v>0</v>
      </c>
      <c r="O352" s="2">
        <v>0.1</v>
      </c>
      <c r="P352" s="8">
        <v>0.1</v>
      </c>
      <c r="Q352" s="12">
        <f t="shared" si="41"/>
        <v>-2.2888928796466944E-5</v>
      </c>
      <c r="R352" s="3">
        <f t="shared" si="42"/>
        <v>2.8439158739049366E-4</v>
      </c>
      <c r="S352" s="14">
        <f t="shared" si="43"/>
        <v>1.6863913762543193E-2</v>
      </c>
    </row>
    <row r="353" spans="1:19" x14ac:dyDescent="0.35">
      <c r="A353" s="4">
        <v>43951</v>
      </c>
      <c r="B353" s="2">
        <v>19.870000999999998</v>
      </c>
      <c r="C353" s="2">
        <v>10.966831000000001</v>
      </c>
      <c r="D353" s="2">
        <v>35.079678000000001</v>
      </c>
      <c r="E353" s="2">
        <v>57.232922000000002</v>
      </c>
      <c r="F353" s="8">
        <v>1385.0699460000001</v>
      </c>
      <c r="G353" s="12">
        <f t="shared" si="44"/>
        <v>2.0850081520454332E-2</v>
      </c>
      <c r="H353" s="3">
        <f t="shared" si="45"/>
        <v>-1.7605809170040314E-3</v>
      </c>
      <c r="I353" s="3">
        <f t="shared" si="46"/>
        <v>1.9291391845933984E-2</v>
      </c>
      <c r="J353" s="3">
        <f t="shared" si="47"/>
        <v>-3.6084131400988394E-2</v>
      </c>
      <c r="K353" s="14">
        <f t="shared" si="48"/>
        <v>-4.0134427263802406E-3</v>
      </c>
      <c r="L353" s="9">
        <v>0.7</v>
      </c>
      <c r="M353" s="2">
        <v>0</v>
      </c>
      <c r="N353" s="2">
        <v>0.1</v>
      </c>
      <c r="O353" s="2">
        <v>0.1</v>
      </c>
      <c r="P353" s="8">
        <v>0.1</v>
      </c>
      <c r="Q353" s="12">
        <f t="shared" si="41"/>
        <v>-6.80188516859829E-4</v>
      </c>
      <c r="R353" s="3">
        <f t="shared" si="42"/>
        <v>5.4952155982710435E-4</v>
      </c>
      <c r="S353" s="14">
        <f t="shared" si="43"/>
        <v>2.3441876201087324E-2</v>
      </c>
    </row>
    <row r="354" spans="1:19" x14ac:dyDescent="0.35">
      <c r="A354" s="4">
        <v>43955</v>
      </c>
      <c r="B354" s="2">
        <v>19.420000000000002</v>
      </c>
      <c r="C354" s="2">
        <v>10.976494000000001</v>
      </c>
      <c r="D354" s="2">
        <v>35.582363000000001</v>
      </c>
      <c r="E354" s="2">
        <v>56.897243000000003</v>
      </c>
      <c r="F354" s="8">
        <v>1376.410034</v>
      </c>
      <c r="G354" s="12">
        <f t="shared" si="44"/>
        <v>-2.2907644027671526E-2</v>
      </c>
      <c r="H354" s="3">
        <f t="shared" si="45"/>
        <v>8.8072346598451305E-4</v>
      </c>
      <c r="I354" s="3">
        <f t="shared" si="46"/>
        <v>1.4228105305495911E-2</v>
      </c>
      <c r="J354" s="3">
        <f t="shared" si="47"/>
        <v>-5.8824057241892956E-3</v>
      </c>
      <c r="K354" s="14">
        <f t="shared" si="48"/>
        <v>-6.2719559445844047E-3</v>
      </c>
      <c r="L354" s="9">
        <v>0.6</v>
      </c>
      <c r="M354" s="2">
        <v>0.1</v>
      </c>
      <c r="N354" s="2">
        <v>0.1</v>
      </c>
      <c r="O354" s="2">
        <v>0.1</v>
      </c>
      <c r="P354" s="8">
        <v>0.1</v>
      </c>
      <c r="Q354" s="12">
        <f t="shared" si="41"/>
        <v>-5.7993232811041017E-4</v>
      </c>
      <c r="R354" s="3">
        <f t="shared" si="42"/>
        <v>4.3195341100493354E-4</v>
      </c>
      <c r="S354" s="14">
        <f t="shared" si="43"/>
        <v>2.0783488903572796E-2</v>
      </c>
    </row>
    <row r="355" spans="1:19" x14ac:dyDescent="0.35">
      <c r="A355" s="4">
        <v>43956</v>
      </c>
      <c r="B355" s="2">
        <v>20.84</v>
      </c>
      <c r="C355" s="2">
        <v>11.179403000000001</v>
      </c>
      <c r="D355" s="2">
        <v>35.168385000000001</v>
      </c>
      <c r="E355" s="2">
        <v>56.245635999999998</v>
      </c>
      <c r="F355" s="8">
        <v>1371.8599850000001</v>
      </c>
      <c r="G355" s="12">
        <f t="shared" si="44"/>
        <v>7.0570754021987175E-2</v>
      </c>
      <c r="H355" s="3">
        <f t="shared" si="45"/>
        <v>1.8316990115163356E-2</v>
      </c>
      <c r="I355" s="3">
        <f t="shared" si="46"/>
        <v>-1.1702568134449271E-2</v>
      </c>
      <c r="J355" s="3">
        <f t="shared" si="47"/>
        <v>-1.151843067866404E-2</v>
      </c>
      <c r="K355" s="14">
        <f t="shared" si="48"/>
        <v>-3.3112125997952035E-3</v>
      </c>
      <c r="L355" s="9">
        <v>0.5</v>
      </c>
      <c r="M355" s="2">
        <v>0.2</v>
      </c>
      <c r="N355" s="2">
        <v>0.1</v>
      </c>
      <c r="O355" s="2">
        <v>0.1</v>
      </c>
      <c r="P355" s="8">
        <v>0.1</v>
      </c>
      <c r="Q355" s="12">
        <f t="shared" si="41"/>
        <v>-4.7967613936099145E-4</v>
      </c>
      <c r="R355" s="3">
        <f t="shared" si="42"/>
        <v>3.3895324226389305E-4</v>
      </c>
      <c r="S355" s="14">
        <f t="shared" si="43"/>
        <v>1.8410682829919509E-2</v>
      </c>
    </row>
    <row r="356" spans="1:19" x14ac:dyDescent="0.35">
      <c r="A356" s="4">
        <v>43957</v>
      </c>
      <c r="B356" s="2">
        <v>20.57</v>
      </c>
      <c r="C356" s="2">
        <v>11.305014</v>
      </c>
      <c r="D356" s="2">
        <v>34.448853</v>
      </c>
      <c r="E356" s="2">
        <v>57.667324000000001</v>
      </c>
      <c r="F356" s="8">
        <v>1371.4300539999999</v>
      </c>
      <c r="G356" s="12">
        <f t="shared" si="44"/>
        <v>-1.3040513220300339E-2</v>
      </c>
      <c r="H356" s="3">
        <f t="shared" si="45"/>
        <v>1.117327674473417E-2</v>
      </c>
      <c r="I356" s="3">
        <f t="shared" si="46"/>
        <v>-2.0671823338026567E-2</v>
      </c>
      <c r="J356" s="3">
        <f t="shared" si="47"/>
        <v>2.4962248755982568E-2</v>
      </c>
      <c r="K356" s="14">
        <f t="shared" si="48"/>
        <v>-3.1344188722875869E-4</v>
      </c>
      <c r="L356" s="9">
        <v>0.4</v>
      </c>
      <c r="M356" s="2">
        <v>0.3</v>
      </c>
      <c r="N356" s="2">
        <v>0.1</v>
      </c>
      <c r="O356" s="2">
        <v>0.1</v>
      </c>
      <c r="P356" s="8">
        <v>0.1</v>
      </c>
      <c r="Q356" s="12">
        <f t="shared" si="41"/>
        <v>-3.7941995061157262E-4</v>
      </c>
      <c r="R356" s="3">
        <f t="shared" si="42"/>
        <v>2.7052105360398309E-4</v>
      </c>
      <c r="S356" s="14">
        <f t="shared" si="43"/>
        <v>1.6447524239349309E-2</v>
      </c>
    </row>
    <row r="357" spans="1:19" x14ac:dyDescent="0.35">
      <c r="A357" s="4">
        <v>43958</v>
      </c>
      <c r="B357" s="2">
        <v>20.27</v>
      </c>
      <c r="C357" s="2">
        <v>11.614212999999999</v>
      </c>
      <c r="D357" s="2">
        <v>34.369999</v>
      </c>
      <c r="E357" s="2">
        <v>57.578468000000001</v>
      </c>
      <c r="F357" s="8">
        <v>1399.0699460000001</v>
      </c>
      <c r="G357" s="12">
        <f t="shared" si="44"/>
        <v>-1.4691743200957222E-2</v>
      </c>
      <c r="H357" s="3">
        <f t="shared" si="45"/>
        <v>2.6983262596986104E-2</v>
      </c>
      <c r="I357" s="3">
        <f t="shared" si="46"/>
        <v>-2.2916405088896654E-3</v>
      </c>
      <c r="J357" s="3">
        <f t="shared" si="47"/>
        <v>-1.5420262391385049E-3</v>
      </c>
      <c r="K357" s="14">
        <f t="shared" si="48"/>
        <v>1.9953661114784194E-2</v>
      </c>
      <c r="L357" s="9">
        <v>0.3</v>
      </c>
      <c r="M357" s="2">
        <v>0.4</v>
      </c>
      <c r="N357" s="2">
        <v>0.1</v>
      </c>
      <c r="O357" s="2">
        <v>0.1</v>
      </c>
      <c r="P357" s="8">
        <v>0.1</v>
      </c>
      <c r="Q357" s="12">
        <f t="shared" si="41"/>
        <v>-2.7916376186215374E-4</v>
      </c>
      <c r="R357" s="3">
        <f t="shared" si="42"/>
        <v>2.2665684502520361E-4</v>
      </c>
      <c r="S357" s="14">
        <f t="shared" si="43"/>
        <v>1.5055126868452607E-2</v>
      </c>
    </row>
    <row r="358" spans="1:19" x14ac:dyDescent="0.35">
      <c r="A358" s="4">
        <v>43959</v>
      </c>
      <c r="B358" s="2">
        <v>20.079999999999998</v>
      </c>
      <c r="C358" s="2">
        <v>12.561128</v>
      </c>
      <c r="D358" s="2">
        <v>34.5</v>
      </c>
      <c r="E358" s="2">
        <v>57.845036</v>
      </c>
      <c r="F358" s="8">
        <v>1388.3100589999999</v>
      </c>
      <c r="G358" s="12">
        <f t="shared" si="44"/>
        <v>-9.4176656403803013E-3</v>
      </c>
      <c r="H358" s="3">
        <f t="shared" si="45"/>
        <v>7.8377359208425409E-2</v>
      </c>
      <c r="I358" s="3">
        <f t="shared" si="46"/>
        <v>3.7752622707130272E-3</v>
      </c>
      <c r="J358" s="3">
        <f t="shared" si="47"/>
        <v>4.6189634640029951E-3</v>
      </c>
      <c r="K358" s="14">
        <f t="shared" si="48"/>
        <v>-7.7204689898588749E-3</v>
      </c>
      <c r="L358" s="9">
        <v>0.2</v>
      </c>
      <c r="M358" s="2">
        <v>0.5</v>
      </c>
      <c r="N358" s="2">
        <v>0.1</v>
      </c>
      <c r="O358" s="2">
        <v>0.1</v>
      </c>
      <c r="P358" s="8">
        <v>0.1</v>
      </c>
      <c r="Q358" s="12">
        <f t="shared" si="41"/>
        <v>-1.7890757311273496E-4</v>
      </c>
      <c r="R358" s="3">
        <f t="shared" si="42"/>
        <v>2.0736061652755462E-4</v>
      </c>
      <c r="S358" s="14">
        <f t="shared" si="43"/>
        <v>1.4400021407190846E-2</v>
      </c>
    </row>
    <row r="359" spans="1:19" x14ac:dyDescent="0.35">
      <c r="A359" s="4">
        <v>43962</v>
      </c>
      <c r="B359" s="2">
        <v>19.450001</v>
      </c>
      <c r="C359" s="2">
        <v>12.744713000000001</v>
      </c>
      <c r="D359" s="2">
        <v>36.330002</v>
      </c>
      <c r="E359" s="2">
        <v>57.193427999999997</v>
      </c>
      <c r="F359" s="8">
        <v>1406.150024</v>
      </c>
      <c r="G359" s="12">
        <f t="shared" si="44"/>
        <v>-3.1877173345192571E-2</v>
      </c>
      <c r="H359" s="3">
        <f t="shared" si="45"/>
        <v>1.4509553015101203E-2</v>
      </c>
      <c r="I359" s="3">
        <f t="shared" si="46"/>
        <v>5.1684577246716996E-2</v>
      </c>
      <c r="J359" s="3">
        <f t="shared" si="47"/>
        <v>-1.1328645153589135E-2</v>
      </c>
      <c r="K359" s="14">
        <f t="shared" si="48"/>
        <v>1.2768267814362556E-2</v>
      </c>
      <c r="L359" s="9">
        <v>0.1</v>
      </c>
      <c r="M359" s="2">
        <v>0.6</v>
      </c>
      <c r="N359" s="2">
        <v>0.1</v>
      </c>
      <c r="O359" s="2">
        <v>0.1</v>
      </c>
      <c r="P359" s="8">
        <v>0.1</v>
      </c>
      <c r="Q359" s="12">
        <f t="shared" si="41"/>
        <v>-7.8651384363316135E-5</v>
      </c>
      <c r="R359" s="3">
        <f t="shared" si="42"/>
        <v>2.126323681110361E-4</v>
      </c>
      <c r="S359" s="14">
        <f t="shared" si="43"/>
        <v>1.4581919219054674E-2</v>
      </c>
    </row>
    <row r="360" spans="1:19" x14ac:dyDescent="0.35">
      <c r="A360" s="4">
        <v>43963</v>
      </c>
      <c r="B360" s="2">
        <v>19.559999000000001</v>
      </c>
      <c r="C360" s="2">
        <v>12.764039</v>
      </c>
      <c r="D360" s="2">
        <v>37.110000999999997</v>
      </c>
      <c r="E360" s="2">
        <v>57.627831</v>
      </c>
      <c r="F360" s="8">
        <v>1392.1999510000001</v>
      </c>
      <c r="G360" s="12">
        <f t="shared" si="44"/>
        <v>5.6394920035899099E-3</v>
      </c>
      <c r="H360" s="3">
        <f t="shared" si="45"/>
        <v>1.5152449400625445E-3</v>
      </c>
      <c r="I360" s="3">
        <f t="shared" si="46"/>
        <v>2.1242600735389132E-2</v>
      </c>
      <c r="J360" s="3">
        <f t="shared" si="47"/>
        <v>7.5666314128103413E-3</v>
      </c>
      <c r="K360" s="14">
        <f t="shared" si="48"/>
        <v>-9.9702958425114847E-3</v>
      </c>
      <c r="L360" s="9">
        <v>0</v>
      </c>
      <c r="M360" s="2">
        <v>0.7</v>
      </c>
      <c r="N360" s="2">
        <v>0.1</v>
      </c>
      <c r="O360" s="2">
        <v>0.1</v>
      </c>
      <c r="P360" s="8">
        <v>0.1</v>
      </c>
      <c r="Q360" s="12">
        <f t="shared" si="41"/>
        <v>2.1604804386102694E-5</v>
      </c>
      <c r="R360" s="3">
        <f t="shared" si="42"/>
        <v>2.4247209977564806E-4</v>
      </c>
      <c r="S360" s="14">
        <f t="shared" si="43"/>
        <v>1.5571515654413608E-2</v>
      </c>
    </row>
    <row r="361" spans="1:19" x14ac:dyDescent="0.35">
      <c r="A361" s="4">
        <v>43964</v>
      </c>
      <c r="B361" s="2">
        <v>18.34</v>
      </c>
      <c r="C361" s="2">
        <v>12.464504</v>
      </c>
      <c r="D361" s="2">
        <v>36.610000999999997</v>
      </c>
      <c r="E361" s="2">
        <v>56.739280999999998</v>
      </c>
      <c r="F361" s="8">
        <v>1384.119995</v>
      </c>
      <c r="G361" s="12">
        <f t="shared" si="44"/>
        <v>-6.4402146653606843E-2</v>
      </c>
      <c r="H361" s="3">
        <f t="shared" si="45"/>
        <v>-2.3746839111977284E-2</v>
      </c>
      <c r="I361" s="3">
        <f t="shared" si="46"/>
        <v>-1.3565047572334668E-2</v>
      </c>
      <c r="J361" s="3">
        <f t="shared" si="47"/>
        <v>-1.5538870628749297E-2</v>
      </c>
      <c r="K361" s="14">
        <f t="shared" si="48"/>
        <v>-5.8206395296283029E-3</v>
      </c>
      <c r="L361" s="9">
        <v>0.6</v>
      </c>
      <c r="M361" s="2">
        <v>0</v>
      </c>
      <c r="N361" s="2">
        <v>0.2</v>
      </c>
      <c r="O361" s="2">
        <v>0.1</v>
      </c>
      <c r="P361" s="8">
        <v>0.1</v>
      </c>
      <c r="Q361" s="12">
        <f t="shared" si="41"/>
        <v>-5.3543859492784045E-4</v>
      </c>
      <c r="R361" s="3">
        <f t="shared" si="42"/>
        <v>4.2999460910317404E-4</v>
      </c>
      <c r="S361" s="14">
        <f t="shared" si="43"/>
        <v>2.0736311366855342E-2</v>
      </c>
    </row>
    <row r="362" spans="1:19" x14ac:dyDescent="0.35">
      <c r="A362" s="4">
        <v>43965</v>
      </c>
      <c r="B362" s="2">
        <v>18.879999000000002</v>
      </c>
      <c r="C362" s="2">
        <v>12.319568</v>
      </c>
      <c r="D362" s="2">
        <v>35.669998</v>
      </c>
      <c r="E362" s="2">
        <v>55.998817000000003</v>
      </c>
      <c r="F362" s="8">
        <v>1383.540039</v>
      </c>
      <c r="G362" s="12">
        <f t="shared" si="44"/>
        <v>2.9018640922932729E-2</v>
      </c>
      <c r="H362" s="3">
        <f t="shared" si="45"/>
        <v>-1.1696032212337526E-2</v>
      </c>
      <c r="I362" s="3">
        <f t="shared" si="46"/>
        <v>-2.6011511145813328E-2</v>
      </c>
      <c r="J362" s="3">
        <f t="shared" si="47"/>
        <v>-1.3136191951956576E-2</v>
      </c>
      <c r="K362" s="14">
        <f t="shared" si="48"/>
        <v>-4.1909483199824971E-4</v>
      </c>
      <c r="L362" s="9">
        <v>0.5</v>
      </c>
      <c r="M362" s="2">
        <v>0.1</v>
      </c>
      <c r="N362" s="2">
        <v>0.2</v>
      </c>
      <c r="O362" s="2">
        <v>0.1</v>
      </c>
      <c r="P362" s="8">
        <v>0.1</v>
      </c>
      <c r="Q362" s="12">
        <f t="shared" si="41"/>
        <v>-4.3518240617842173E-4</v>
      </c>
      <c r="R362" s="3">
        <f t="shared" si="42"/>
        <v>3.3270074840494274E-4</v>
      </c>
      <c r="S362" s="14">
        <f t="shared" si="43"/>
        <v>1.8240086304755872E-2</v>
      </c>
    </row>
    <row r="363" spans="1:19" x14ac:dyDescent="0.35">
      <c r="A363" s="4">
        <v>43966</v>
      </c>
      <c r="B363" s="2">
        <v>18.84</v>
      </c>
      <c r="C363" s="2">
        <v>12.551465</v>
      </c>
      <c r="D363" s="2">
        <v>35.599997999999999</v>
      </c>
      <c r="E363" s="2">
        <v>55.317585000000001</v>
      </c>
      <c r="F363" s="8">
        <v>1384.589966</v>
      </c>
      <c r="G363" s="12">
        <f t="shared" si="44"/>
        <v>-2.1208386030346603E-3</v>
      </c>
      <c r="H363" s="3">
        <f t="shared" si="45"/>
        <v>1.8648499277228073E-2</v>
      </c>
      <c r="I363" s="3">
        <f t="shared" si="46"/>
        <v>-1.9643616230645014E-3</v>
      </c>
      <c r="J363" s="3">
        <f t="shared" si="47"/>
        <v>-1.2239714765981211E-2</v>
      </c>
      <c r="K363" s="14">
        <f t="shared" si="48"/>
        <v>7.5858218252149048E-4</v>
      </c>
      <c r="L363" s="9">
        <v>0.4</v>
      </c>
      <c r="M363" s="2">
        <v>0.2</v>
      </c>
      <c r="N363" s="2">
        <v>0.2</v>
      </c>
      <c r="O363" s="2">
        <v>0.1</v>
      </c>
      <c r="P363" s="8">
        <v>0.1</v>
      </c>
      <c r="Q363" s="12">
        <f t="shared" si="41"/>
        <v>-3.3492621742900301E-4</v>
      </c>
      <c r="R363" s="3">
        <f t="shared" si="42"/>
        <v>2.5997486778784191E-4</v>
      </c>
      <c r="S363" s="14">
        <f t="shared" si="43"/>
        <v>1.6123736160947373E-2</v>
      </c>
    </row>
    <row r="364" spans="1:19" x14ac:dyDescent="0.35">
      <c r="A364" s="4">
        <v>43969</v>
      </c>
      <c r="B364" s="2">
        <v>19.079999999999998</v>
      </c>
      <c r="C364" s="2">
        <v>12.525847000000001</v>
      </c>
      <c r="D364" s="2">
        <v>37</v>
      </c>
      <c r="E364" s="2">
        <v>57.736435</v>
      </c>
      <c r="F364" s="8">
        <v>1402.8199460000001</v>
      </c>
      <c r="G364" s="12">
        <f t="shared" si="44"/>
        <v>1.2658396871923465E-2</v>
      </c>
      <c r="H364" s="3">
        <f t="shared" si="45"/>
        <v>-2.043122397770482E-3</v>
      </c>
      <c r="I364" s="3">
        <f t="shared" si="46"/>
        <v>3.8572330966016505E-2</v>
      </c>
      <c r="J364" s="3">
        <f t="shared" si="47"/>
        <v>4.2797579289585365E-2</v>
      </c>
      <c r="K364" s="14">
        <f t="shared" si="48"/>
        <v>1.3080415511016385E-2</v>
      </c>
      <c r="L364" s="9">
        <v>0.3</v>
      </c>
      <c r="M364" s="2">
        <v>0.3</v>
      </c>
      <c r="N364" s="2">
        <v>0.2</v>
      </c>
      <c r="O364" s="2">
        <v>0.1</v>
      </c>
      <c r="P364" s="8">
        <v>0.1</v>
      </c>
      <c r="Q364" s="12">
        <f t="shared" si="41"/>
        <v>-2.3467002867958418E-4</v>
      </c>
      <c r="R364" s="3">
        <f t="shared" si="42"/>
        <v>2.1181696725187151E-4</v>
      </c>
      <c r="S364" s="14">
        <f t="shared" si="43"/>
        <v>1.4553933050961568E-2</v>
      </c>
    </row>
    <row r="365" spans="1:19" x14ac:dyDescent="0.35">
      <c r="A365" s="4">
        <v>43970</v>
      </c>
      <c r="B365" s="2">
        <v>18.579999999999998</v>
      </c>
      <c r="C365" s="2">
        <v>12.50629</v>
      </c>
      <c r="D365" s="2">
        <v>35.990001999999997</v>
      </c>
      <c r="E365" s="2">
        <v>55.702624999999998</v>
      </c>
      <c r="F365" s="8">
        <v>1380.0600589999999</v>
      </c>
      <c r="G365" s="12">
        <f t="shared" si="44"/>
        <v>-2.6554932634447966E-2</v>
      </c>
      <c r="H365" s="3">
        <f t="shared" si="45"/>
        <v>-1.5625516893859467E-3</v>
      </c>
      <c r="I365" s="3">
        <f t="shared" si="46"/>
        <v>-2.7676734982294816E-2</v>
      </c>
      <c r="J365" s="3">
        <f t="shared" si="47"/>
        <v>-3.5861156744261685E-2</v>
      </c>
      <c r="K365" s="14">
        <f t="shared" si="48"/>
        <v>-1.6357438651653306E-2</v>
      </c>
      <c r="L365" s="9">
        <v>0.2</v>
      </c>
      <c r="M365" s="2">
        <v>0.4</v>
      </c>
      <c r="N365" s="2">
        <v>0.2</v>
      </c>
      <c r="O365" s="2">
        <v>0.1</v>
      </c>
      <c r="P365" s="8">
        <v>0.1</v>
      </c>
      <c r="Q365" s="12">
        <f t="shared" si="41"/>
        <v>-1.3441383993016532E-4</v>
      </c>
      <c r="R365" s="3">
        <f t="shared" si="42"/>
        <v>1.8822704679703168E-4</v>
      </c>
      <c r="S365" s="14">
        <f t="shared" si="43"/>
        <v>1.371958624729739E-2</v>
      </c>
    </row>
    <row r="366" spans="1:19" x14ac:dyDescent="0.35">
      <c r="A366" s="4">
        <v>43971</v>
      </c>
      <c r="B366" s="2">
        <v>18.670000000000002</v>
      </c>
      <c r="C366" s="2">
        <v>12.310727</v>
      </c>
      <c r="D366" s="2">
        <v>35.880001</v>
      </c>
      <c r="E366" s="2">
        <v>55.613773000000002</v>
      </c>
      <c r="F366" s="8">
        <v>1372.099976</v>
      </c>
      <c r="G366" s="12">
        <f t="shared" si="44"/>
        <v>4.8322241679389245E-3</v>
      </c>
      <c r="H366" s="3">
        <f t="shared" si="45"/>
        <v>-1.5760721616379376E-2</v>
      </c>
      <c r="I366" s="3">
        <f t="shared" si="46"/>
        <v>-3.0611126006545651E-3</v>
      </c>
      <c r="J366" s="3">
        <f t="shared" si="47"/>
        <v>-1.5963868839805244E-3</v>
      </c>
      <c r="K366" s="14">
        <f t="shared" si="48"/>
        <v>-5.784623783038346E-3</v>
      </c>
      <c r="L366" s="9">
        <v>0.1</v>
      </c>
      <c r="M366" s="2">
        <v>0.5</v>
      </c>
      <c r="N366" s="2">
        <v>0.2</v>
      </c>
      <c r="O366" s="2">
        <v>0.1</v>
      </c>
      <c r="P366" s="8">
        <v>0.1</v>
      </c>
      <c r="Q366" s="12">
        <f t="shared" si="41"/>
        <v>-3.4157651180746551E-5</v>
      </c>
      <c r="R366" s="3">
        <f t="shared" si="42"/>
        <v>1.8920510642332226E-4</v>
      </c>
      <c r="S366" s="14">
        <f t="shared" si="43"/>
        <v>1.3755184710621747E-2</v>
      </c>
    </row>
    <row r="367" spans="1:19" x14ac:dyDescent="0.35">
      <c r="A367" s="4">
        <v>43972</v>
      </c>
      <c r="B367" s="2">
        <v>18.559999000000001</v>
      </c>
      <c r="C367" s="2">
        <v>12.046715000000001</v>
      </c>
      <c r="D367" s="2">
        <v>35.689999</v>
      </c>
      <c r="E367" s="2">
        <v>55.130004999999997</v>
      </c>
      <c r="F367" s="8">
        <v>1373.829956</v>
      </c>
      <c r="G367" s="12">
        <f t="shared" si="44"/>
        <v>-5.9092840748885406E-3</v>
      </c>
      <c r="H367" s="3">
        <f t="shared" si="45"/>
        <v>-2.1678987466412288E-2</v>
      </c>
      <c r="I367" s="3">
        <f t="shared" si="46"/>
        <v>-5.3095555782593359E-3</v>
      </c>
      <c r="J367" s="3">
        <f t="shared" si="47"/>
        <v>-8.7367631110656374E-3</v>
      </c>
      <c r="K367" s="14">
        <f t="shared" si="48"/>
        <v>1.2600323181795067E-3</v>
      </c>
      <c r="L367" s="9">
        <v>0</v>
      </c>
      <c r="M367" s="2">
        <v>0.6</v>
      </c>
      <c r="N367" s="2">
        <v>0.2</v>
      </c>
      <c r="O367" s="2">
        <v>0.1</v>
      </c>
      <c r="P367" s="8">
        <v>0.1</v>
      </c>
      <c r="Q367" s="12">
        <f t="shared" si="41"/>
        <v>6.6098537568672292E-5</v>
      </c>
      <c r="R367" s="3">
        <f t="shared" si="42"/>
        <v>2.1475114613074333E-4</v>
      </c>
      <c r="S367" s="14">
        <f t="shared" si="43"/>
        <v>1.4654389995176986E-2</v>
      </c>
    </row>
    <row r="368" spans="1:19" x14ac:dyDescent="0.35">
      <c r="A368" s="4">
        <v>43973</v>
      </c>
      <c r="B368" s="2">
        <v>18.48</v>
      </c>
      <c r="C368" s="2">
        <v>11.988047</v>
      </c>
      <c r="D368" s="2">
        <v>35.540000999999997</v>
      </c>
      <c r="E368" s="2">
        <v>55.100383999999998</v>
      </c>
      <c r="F368" s="8">
        <v>1366.3599850000001</v>
      </c>
      <c r="G368" s="12">
        <f t="shared" si="44"/>
        <v>-4.3196072652046461E-3</v>
      </c>
      <c r="H368" s="3">
        <f t="shared" si="45"/>
        <v>-4.8819386288142981E-3</v>
      </c>
      <c r="I368" s="3">
        <f t="shared" si="46"/>
        <v>-4.2116586192007758E-3</v>
      </c>
      <c r="J368" s="3">
        <f t="shared" si="47"/>
        <v>-5.3743801471977726E-4</v>
      </c>
      <c r="K368" s="14">
        <f t="shared" si="48"/>
        <v>-5.4521691308158891E-3</v>
      </c>
      <c r="L368" s="9">
        <v>0.5</v>
      </c>
      <c r="M368" s="2">
        <v>0</v>
      </c>
      <c r="N368" s="2">
        <v>0.3</v>
      </c>
      <c r="O368" s="2">
        <v>0.1</v>
      </c>
      <c r="P368" s="8">
        <v>0.1</v>
      </c>
      <c r="Q368" s="12">
        <f t="shared" si="41"/>
        <v>-3.9068867299585217E-4</v>
      </c>
      <c r="R368" s="3">
        <f t="shared" si="42"/>
        <v>3.4064678851593322E-4</v>
      </c>
      <c r="S368" s="14">
        <f t="shared" si="43"/>
        <v>1.845661909765527E-2</v>
      </c>
    </row>
    <row r="369" spans="1:19" x14ac:dyDescent="0.35">
      <c r="A369" s="4">
        <v>43976</v>
      </c>
      <c r="B369" s="2">
        <v>18.030000999999999</v>
      </c>
      <c r="C369" s="2">
        <v>11.743592</v>
      </c>
      <c r="D369" s="2">
        <v>35.259998000000003</v>
      </c>
      <c r="E369" s="2">
        <v>54.972037999999998</v>
      </c>
      <c r="F369" s="8">
        <v>1365.9799800000001</v>
      </c>
      <c r="G369" s="12">
        <f t="shared" si="44"/>
        <v>-2.4651973535196825E-2</v>
      </c>
      <c r="H369" s="3">
        <f t="shared" si="45"/>
        <v>-2.0602339909727142E-2</v>
      </c>
      <c r="I369" s="3">
        <f t="shared" si="46"/>
        <v>-7.9097306155896524E-3</v>
      </c>
      <c r="J369" s="3">
        <f t="shared" si="47"/>
        <v>-2.3320293282178385E-3</v>
      </c>
      <c r="K369" s="14">
        <f t="shared" si="48"/>
        <v>-2.7815352944196754E-4</v>
      </c>
      <c r="L369" s="9">
        <v>0.4</v>
      </c>
      <c r="M369" s="2">
        <v>0.1</v>
      </c>
      <c r="N369" s="2">
        <v>0.3</v>
      </c>
      <c r="O369" s="2">
        <v>0.1</v>
      </c>
      <c r="P369" s="8">
        <v>0.1</v>
      </c>
      <c r="Q369" s="12">
        <f t="shared" si="41"/>
        <v>-2.9043248424643334E-4</v>
      </c>
      <c r="R369" s="3">
        <f t="shared" si="42"/>
        <v>2.6362721594164152E-4</v>
      </c>
      <c r="S369" s="14">
        <f t="shared" si="43"/>
        <v>1.6236601120358952E-2</v>
      </c>
    </row>
    <row r="370" spans="1:19" x14ac:dyDescent="0.35">
      <c r="A370" s="4">
        <v>43977</v>
      </c>
      <c r="B370" s="2">
        <v>18.969999000000001</v>
      </c>
      <c r="C370" s="2">
        <v>11.724035000000001</v>
      </c>
      <c r="D370" s="2">
        <v>35.830002</v>
      </c>
      <c r="E370" s="2">
        <v>55.455803000000003</v>
      </c>
      <c r="F370" s="8">
        <v>1365.579956</v>
      </c>
      <c r="G370" s="12">
        <f t="shared" si="44"/>
        <v>5.0821638553767395E-2</v>
      </c>
      <c r="H370" s="3">
        <f t="shared" si="45"/>
        <v>-1.6667219508289151E-3</v>
      </c>
      <c r="I370" s="3">
        <f t="shared" si="46"/>
        <v>1.6036466887781705E-2</v>
      </c>
      <c r="J370" s="3">
        <f t="shared" si="47"/>
        <v>8.76170520767444E-3</v>
      </c>
      <c r="K370" s="14">
        <f t="shared" si="48"/>
        <v>-2.928905184087232E-4</v>
      </c>
      <c r="L370" s="9">
        <v>0.3</v>
      </c>
      <c r="M370" s="2">
        <v>0.2</v>
      </c>
      <c r="N370" s="2">
        <v>0.3</v>
      </c>
      <c r="O370" s="2">
        <v>0.1</v>
      </c>
      <c r="P370" s="8">
        <v>0.1</v>
      </c>
      <c r="Q370" s="12">
        <f t="shared" si="41"/>
        <v>-1.9017629549701452E-4</v>
      </c>
      <c r="R370" s="3">
        <f t="shared" si="42"/>
        <v>2.1117562344848023E-4</v>
      </c>
      <c r="S370" s="14">
        <f t="shared" si="43"/>
        <v>1.4531882997343469E-2</v>
      </c>
    </row>
    <row r="371" spans="1:19" x14ac:dyDescent="0.35">
      <c r="A371" s="4">
        <v>43978</v>
      </c>
      <c r="B371" s="2">
        <v>19.16</v>
      </c>
      <c r="C371" s="2">
        <v>11.909822</v>
      </c>
      <c r="D371" s="2">
        <v>36.029998999999997</v>
      </c>
      <c r="E371" s="2">
        <v>55.909962</v>
      </c>
      <c r="F371" s="8">
        <v>1355.51001</v>
      </c>
      <c r="G371" s="12">
        <f t="shared" si="44"/>
        <v>9.9660413106059109E-3</v>
      </c>
      <c r="H371" s="3">
        <f t="shared" si="45"/>
        <v>1.5722429658082113E-2</v>
      </c>
      <c r="I371" s="3">
        <f t="shared" si="46"/>
        <v>5.5663098693456087E-3</v>
      </c>
      <c r="J371" s="3">
        <f t="shared" si="47"/>
        <v>8.1562142135313143E-3</v>
      </c>
      <c r="K371" s="14">
        <f t="shared" si="48"/>
        <v>-7.4014399348701649E-3</v>
      </c>
      <c r="L371" s="9">
        <v>0.2</v>
      </c>
      <c r="M371" s="2">
        <v>0.3</v>
      </c>
      <c r="N371" s="2">
        <v>0.3</v>
      </c>
      <c r="O371" s="2">
        <v>0.1</v>
      </c>
      <c r="P371" s="8">
        <v>0.1</v>
      </c>
      <c r="Q371" s="12">
        <f t="shared" si="41"/>
        <v>-8.9920106747595714E-5</v>
      </c>
      <c r="R371" s="3">
        <f t="shared" si="42"/>
        <v>1.8329201103644947E-4</v>
      </c>
      <c r="S371" s="14">
        <f t="shared" si="43"/>
        <v>1.3538537994792845E-2</v>
      </c>
    </row>
    <row r="372" spans="1:19" x14ac:dyDescent="0.35">
      <c r="A372" s="4">
        <v>43979</v>
      </c>
      <c r="B372" s="2">
        <v>18.91</v>
      </c>
      <c r="C372" s="2">
        <v>11.988047</v>
      </c>
      <c r="D372" s="2">
        <v>35.130001</v>
      </c>
      <c r="E372" s="2">
        <v>55.149749999999997</v>
      </c>
      <c r="F372" s="8">
        <v>1333.209961</v>
      </c>
      <c r="G372" s="12">
        <f t="shared" si="44"/>
        <v>-1.3133889872348366E-2</v>
      </c>
      <c r="H372" s="3">
        <f t="shared" si="45"/>
        <v>6.5466322024737515E-3</v>
      </c>
      <c r="I372" s="3">
        <f t="shared" si="46"/>
        <v>-2.5296402261918361E-2</v>
      </c>
      <c r="J372" s="3">
        <f t="shared" si="47"/>
        <v>-1.3690362776909142E-2</v>
      </c>
      <c r="K372" s="14">
        <f t="shared" si="48"/>
        <v>-1.6588235737512638E-2</v>
      </c>
      <c r="L372" s="9">
        <v>0.1</v>
      </c>
      <c r="M372" s="2">
        <v>0.4</v>
      </c>
      <c r="N372" s="2">
        <v>0.3</v>
      </c>
      <c r="O372" s="2">
        <v>0.1</v>
      </c>
      <c r="P372" s="8">
        <v>0.1</v>
      </c>
      <c r="Q372" s="12">
        <f t="shared" si="41"/>
        <v>1.0336082001823101E-5</v>
      </c>
      <c r="R372" s="3">
        <f t="shared" si="42"/>
        <v>1.7997637870554922E-4</v>
      </c>
      <c r="S372" s="14">
        <f t="shared" si="43"/>
        <v>1.3415527522447606E-2</v>
      </c>
    </row>
    <row r="373" spans="1:19" x14ac:dyDescent="0.35">
      <c r="A373" s="4">
        <v>43980</v>
      </c>
      <c r="B373" s="2">
        <v>18.75</v>
      </c>
      <c r="C373" s="2">
        <v>11.557805999999999</v>
      </c>
      <c r="D373" s="2">
        <v>34.669998</v>
      </c>
      <c r="E373" s="2">
        <v>54.646228999999998</v>
      </c>
      <c r="F373" s="8">
        <v>1319.969971</v>
      </c>
      <c r="G373" s="12">
        <f t="shared" si="44"/>
        <v>-8.4971302539463469E-3</v>
      </c>
      <c r="H373" s="3">
        <f t="shared" si="45"/>
        <v>-3.6549017190151474E-2</v>
      </c>
      <c r="I373" s="3">
        <f t="shared" si="46"/>
        <v>-1.3180792733264625E-2</v>
      </c>
      <c r="J373" s="3">
        <f t="shared" si="47"/>
        <v>-9.1720031006591006E-3</v>
      </c>
      <c r="K373" s="14">
        <f t="shared" si="48"/>
        <v>-9.9805518235984835E-3</v>
      </c>
      <c r="L373" s="9">
        <v>0</v>
      </c>
      <c r="M373" s="2">
        <v>0.5</v>
      </c>
      <c r="N373" s="2">
        <v>0.3</v>
      </c>
      <c r="O373" s="2">
        <v>0.1</v>
      </c>
      <c r="P373" s="8">
        <v>0.1</v>
      </c>
      <c r="Q373" s="12">
        <f t="shared" si="41"/>
        <v>1.105922707512419E-4</v>
      </c>
      <c r="R373" s="3">
        <f t="shared" si="42"/>
        <v>2.0122872645577939E-4</v>
      </c>
      <c r="S373" s="14">
        <f t="shared" si="43"/>
        <v>1.4185511145382792E-2</v>
      </c>
    </row>
    <row r="374" spans="1:19" x14ac:dyDescent="0.35">
      <c r="A374" s="4">
        <v>43983</v>
      </c>
      <c r="B374" s="2">
        <v>19.170000000000002</v>
      </c>
      <c r="C374" s="2">
        <v>11.596919</v>
      </c>
      <c r="D374" s="2">
        <v>36.389999000000003</v>
      </c>
      <c r="E374" s="2">
        <v>55.751995000000001</v>
      </c>
      <c r="F374" s="8">
        <v>1307.1899410000001</v>
      </c>
      <c r="G374" s="12">
        <f t="shared" si="44"/>
        <v>2.2152804641133499E-2</v>
      </c>
      <c r="H374" s="3">
        <f t="shared" si="45"/>
        <v>3.3784065413664435E-3</v>
      </c>
      <c r="I374" s="3">
        <f t="shared" si="46"/>
        <v>4.8419282133821802E-2</v>
      </c>
      <c r="J374" s="3">
        <f t="shared" si="47"/>
        <v>2.0032984956322979E-2</v>
      </c>
      <c r="K374" s="14">
        <f t="shared" si="48"/>
        <v>-9.7292370765325199E-3</v>
      </c>
      <c r="L374" s="9">
        <v>0.4</v>
      </c>
      <c r="M374" s="2">
        <v>0</v>
      </c>
      <c r="N374" s="2">
        <v>0.4</v>
      </c>
      <c r="O374" s="2">
        <v>0.1</v>
      </c>
      <c r="P374" s="8">
        <v>0.1</v>
      </c>
      <c r="Q374" s="12">
        <f t="shared" si="41"/>
        <v>-2.4593875106386373E-4</v>
      </c>
      <c r="R374" s="3">
        <f t="shared" si="42"/>
        <v>2.8147809806538198E-4</v>
      </c>
      <c r="S374" s="14">
        <f t="shared" si="43"/>
        <v>1.6777309023361942E-2</v>
      </c>
    </row>
    <row r="375" spans="1:19" x14ac:dyDescent="0.35">
      <c r="A375" s="4">
        <v>43984</v>
      </c>
      <c r="B375" s="2">
        <v>19.879999000000002</v>
      </c>
      <c r="C375" s="2">
        <v>11.958712</v>
      </c>
      <c r="D375" s="2">
        <v>37.040000999999997</v>
      </c>
      <c r="E375" s="2">
        <v>54.656109000000001</v>
      </c>
      <c r="F375" s="8">
        <v>1307.6899410000001</v>
      </c>
      <c r="G375" s="12">
        <f t="shared" si="44"/>
        <v>3.6367593869062673E-2</v>
      </c>
      <c r="H375" s="3">
        <f t="shared" si="45"/>
        <v>3.0720591030360258E-2</v>
      </c>
      <c r="I375" s="3">
        <f t="shared" si="46"/>
        <v>1.7704452631827221E-2</v>
      </c>
      <c r="J375" s="3">
        <f t="shared" si="47"/>
        <v>-1.985220199764718E-2</v>
      </c>
      <c r="K375" s="14">
        <f t="shared" si="48"/>
        <v>3.8242674895751493E-4</v>
      </c>
      <c r="L375" s="9">
        <v>0.3</v>
      </c>
      <c r="M375" s="2">
        <v>0.1</v>
      </c>
      <c r="N375" s="2">
        <v>0.4</v>
      </c>
      <c r="O375" s="2">
        <v>0.1</v>
      </c>
      <c r="P375" s="8">
        <v>0.1</v>
      </c>
      <c r="Q375" s="12">
        <f t="shared" si="41"/>
        <v>-1.4568256231444488E-4</v>
      </c>
      <c r="R375" s="3">
        <f t="shared" si="42"/>
        <v>2.2473281361502979E-4</v>
      </c>
      <c r="S375" s="14">
        <f t="shared" si="43"/>
        <v>1.4991091141575713E-2</v>
      </c>
    </row>
    <row r="376" spans="1:19" x14ac:dyDescent="0.35">
      <c r="A376" s="4">
        <v>43985</v>
      </c>
      <c r="B376" s="2">
        <v>20.940000999999999</v>
      </c>
      <c r="C376" s="2">
        <v>12.036939</v>
      </c>
      <c r="D376" s="2">
        <v>36.560001</v>
      </c>
      <c r="E376" s="2">
        <v>54.310555000000001</v>
      </c>
      <c r="F376" s="8">
        <v>1290.8199460000001</v>
      </c>
      <c r="G376" s="12">
        <f t="shared" si="44"/>
        <v>5.194710227126554E-2</v>
      </c>
      <c r="H376" s="3">
        <f t="shared" si="45"/>
        <v>6.5201212612957058E-3</v>
      </c>
      <c r="I376" s="3">
        <f t="shared" si="46"/>
        <v>-1.3043662837571912E-2</v>
      </c>
      <c r="J376" s="3">
        <f t="shared" si="47"/>
        <v>-6.3424013486436696E-3</v>
      </c>
      <c r="K376" s="14">
        <f t="shared" si="48"/>
        <v>-1.2984543260630223E-2</v>
      </c>
      <c r="L376" s="9">
        <v>0.2</v>
      </c>
      <c r="M376" s="2">
        <v>0.2</v>
      </c>
      <c r="N376" s="2">
        <v>0.4</v>
      </c>
      <c r="O376" s="2">
        <v>0.1</v>
      </c>
      <c r="P376" s="8">
        <v>0.1</v>
      </c>
      <c r="Q376" s="12">
        <f t="shared" si="41"/>
        <v>-4.542637356502613E-5</v>
      </c>
      <c r="R376" s="3">
        <f t="shared" si="42"/>
        <v>1.9255550924580819E-4</v>
      </c>
      <c r="S376" s="14">
        <f t="shared" si="43"/>
        <v>1.3876437195685648E-2</v>
      </c>
    </row>
    <row r="377" spans="1:19" x14ac:dyDescent="0.35">
      <c r="A377" s="4">
        <v>43986</v>
      </c>
      <c r="B377" s="2">
        <v>21.75</v>
      </c>
      <c r="C377" s="2">
        <v>12.320505000000001</v>
      </c>
      <c r="D377" s="2">
        <v>35.860000999999997</v>
      </c>
      <c r="E377" s="2">
        <v>54.241444000000001</v>
      </c>
      <c r="F377" s="8">
        <v>1273.2700199999999</v>
      </c>
      <c r="G377" s="12">
        <f t="shared" si="44"/>
        <v>3.7952504336811577E-2</v>
      </c>
      <c r="H377" s="3">
        <f t="shared" si="45"/>
        <v>2.3284775848179975E-2</v>
      </c>
      <c r="I377" s="3">
        <f t="shared" si="46"/>
        <v>-1.9332277875035966E-2</v>
      </c>
      <c r="J377" s="3">
        <f t="shared" si="47"/>
        <v>-1.27332541039249E-3</v>
      </c>
      <c r="K377" s="14">
        <f t="shared" si="48"/>
        <v>-1.3689223307802147E-2</v>
      </c>
      <c r="L377" s="9">
        <v>0.1</v>
      </c>
      <c r="M377" s="2">
        <v>0.3</v>
      </c>
      <c r="N377" s="2">
        <v>0.4</v>
      </c>
      <c r="O377" s="2">
        <v>0.1</v>
      </c>
      <c r="P377" s="8">
        <v>0.1</v>
      </c>
      <c r="Q377" s="12">
        <f t="shared" si="41"/>
        <v>5.4829815184392699E-5</v>
      </c>
      <c r="R377" s="3">
        <f t="shared" si="42"/>
        <v>1.8494618495771699E-4</v>
      </c>
      <c r="S377" s="14">
        <f t="shared" si="43"/>
        <v>1.3599492084549223E-2</v>
      </c>
    </row>
    <row r="378" spans="1:19" x14ac:dyDescent="0.35">
      <c r="A378" s="4">
        <v>43987</v>
      </c>
      <c r="B378" s="2">
        <v>23.92</v>
      </c>
      <c r="C378" s="2">
        <v>12.281393</v>
      </c>
      <c r="D378" s="2">
        <v>35.270000000000003</v>
      </c>
      <c r="E378" s="2">
        <v>54.656109000000001</v>
      </c>
      <c r="F378" s="8">
        <v>1298.780029</v>
      </c>
      <c r="G378" s="12">
        <f t="shared" si="44"/>
        <v>9.5101171547737895E-2</v>
      </c>
      <c r="H378" s="3">
        <f t="shared" si="45"/>
        <v>-3.1795947573864027E-3</v>
      </c>
      <c r="I378" s="3">
        <f t="shared" si="46"/>
        <v>-1.6589751815249854E-2</v>
      </c>
      <c r="J378" s="3">
        <f t="shared" si="47"/>
        <v>7.6157267590361549E-3</v>
      </c>
      <c r="K378" s="14">
        <f t="shared" si="48"/>
        <v>1.9836974425868431E-2</v>
      </c>
      <c r="L378" s="9">
        <v>0</v>
      </c>
      <c r="M378" s="2">
        <v>0.4</v>
      </c>
      <c r="N378" s="2">
        <v>0.4</v>
      </c>
      <c r="O378" s="2">
        <v>0.1</v>
      </c>
      <c r="P378" s="8">
        <v>0.1</v>
      </c>
      <c r="Q378" s="12">
        <f t="shared" si="41"/>
        <v>1.5508600393381153E-4</v>
      </c>
      <c r="R378" s="3">
        <f t="shared" si="42"/>
        <v>2.0190484075075635E-4</v>
      </c>
      <c r="S378" s="14">
        <f t="shared" si="43"/>
        <v>1.4209322318490645E-2</v>
      </c>
    </row>
    <row r="379" spans="1:19" x14ac:dyDescent="0.35">
      <c r="A379" s="4">
        <v>43990</v>
      </c>
      <c r="B379" s="2">
        <v>25.299999</v>
      </c>
      <c r="C379" s="2">
        <v>12.682297999999999</v>
      </c>
      <c r="D379" s="2">
        <v>36.259998000000003</v>
      </c>
      <c r="E379" s="2">
        <v>56.571438000000001</v>
      </c>
      <c r="F379" s="8">
        <v>1291.8900149999999</v>
      </c>
      <c r="G379" s="12">
        <f t="shared" si="44"/>
        <v>5.608942712535097E-2</v>
      </c>
      <c r="H379" s="3">
        <f t="shared" si="45"/>
        <v>3.2121810105117519E-2</v>
      </c>
      <c r="I379" s="3">
        <f t="shared" si="46"/>
        <v>2.7682405921544903E-2</v>
      </c>
      <c r="J379" s="3">
        <f t="shared" si="47"/>
        <v>3.4443236410134886E-2</v>
      </c>
      <c r="K379" s="14">
        <f t="shared" si="48"/>
        <v>-5.3191105990857031E-3</v>
      </c>
      <c r="L379" s="9">
        <v>0.3</v>
      </c>
      <c r="M379" s="2">
        <v>0</v>
      </c>
      <c r="N379" s="2">
        <v>0.5</v>
      </c>
      <c r="O379" s="2">
        <v>0.1</v>
      </c>
      <c r="P379" s="8">
        <v>0.1</v>
      </c>
      <c r="Q379" s="12">
        <f t="shared" si="41"/>
        <v>-1.0118882913187527E-4</v>
      </c>
      <c r="R379" s="3">
        <f t="shared" si="42"/>
        <v>2.5248853775152016E-4</v>
      </c>
      <c r="S379" s="14">
        <f t="shared" si="43"/>
        <v>1.5889887908714779E-2</v>
      </c>
    </row>
    <row r="380" spans="1:19" x14ac:dyDescent="0.35">
      <c r="A380" s="4">
        <v>43991</v>
      </c>
      <c r="B380" s="2">
        <v>25.219999000000001</v>
      </c>
      <c r="C380" s="2">
        <v>12.418286</v>
      </c>
      <c r="D380" s="2">
        <v>35.560001</v>
      </c>
      <c r="E380" s="2">
        <v>56.067923999999998</v>
      </c>
      <c r="F380" s="8">
        <v>1289.369995</v>
      </c>
      <c r="G380" s="12">
        <f t="shared" si="44"/>
        <v>-3.1670653220798456E-3</v>
      </c>
      <c r="H380" s="3">
        <f t="shared" si="45"/>
        <v>-2.1037099111367294E-2</v>
      </c>
      <c r="I380" s="3">
        <f t="shared" si="46"/>
        <v>-1.9493711402317291E-2</v>
      </c>
      <c r="J380" s="3">
        <f t="shared" si="47"/>
        <v>-8.9403445628240541E-3</v>
      </c>
      <c r="K380" s="14">
        <f t="shared" si="48"/>
        <v>-1.9525509176596453E-3</v>
      </c>
      <c r="L380" s="9">
        <v>0.2</v>
      </c>
      <c r="M380" s="2">
        <v>0.1</v>
      </c>
      <c r="N380" s="2">
        <v>0.5</v>
      </c>
      <c r="O380" s="2">
        <v>0.1</v>
      </c>
      <c r="P380" s="8">
        <v>0.1</v>
      </c>
      <c r="Q380" s="12">
        <f t="shared" si="41"/>
        <v>-9.3264038245649181E-7</v>
      </c>
      <c r="R380" s="3">
        <f t="shared" si="42"/>
        <v>2.1601754142510764E-4</v>
      </c>
      <c r="S380" s="14">
        <f t="shared" si="43"/>
        <v>1.4697535215984606E-2</v>
      </c>
    </row>
    <row r="381" spans="1:19" x14ac:dyDescent="0.35">
      <c r="A381" s="4">
        <v>43992</v>
      </c>
      <c r="B381" s="2">
        <v>24.25</v>
      </c>
      <c r="C381" s="2">
        <v>12.330282</v>
      </c>
      <c r="D381" s="2">
        <v>35.330002</v>
      </c>
      <c r="E381" s="2">
        <v>55.248474000000002</v>
      </c>
      <c r="F381" s="8">
        <v>1280.849976</v>
      </c>
      <c r="G381" s="12">
        <f t="shared" si="44"/>
        <v>-3.9220673502209931E-2</v>
      </c>
      <c r="H381" s="3">
        <f t="shared" si="45"/>
        <v>-7.1118758004569006E-3</v>
      </c>
      <c r="I381" s="3">
        <f t="shared" si="46"/>
        <v>-6.4889207870219524E-3</v>
      </c>
      <c r="J381" s="3">
        <f t="shared" si="47"/>
        <v>-1.4723164196072639E-2</v>
      </c>
      <c r="K381" s="14">
        <f t="shared" si="48"/>
        <v>-6.6298218081725846E-3</v>
      </c>
      <c r="L381" s="9">
        <v>0.1</v>
      </c>
      <c r="M381" s="2">
        <v>0.2</v>
      </c>
      <c r="N381" s="2">
        <v>0.5</v>
      </c>
      <c r="O381" s="2">
        <v>0.1</v>
      </c>
      <c r="P381" s="8">
        <v>0.1</v>
      </c>
      <c r="Q381" s="12">
        <f t="shared" si="41"/>
        <v>9.9323548366962337E-5</v>
      </c>
      <c r="R381" s="3">
        <f t="shared" si="42"/>
        <v>2.041145251798256E-4</v>
      </c>
      <c r="S381" s="14">
        <f t="shared" si="43"/>
        <v>1.428686547776753E-2</v>
      </c>
    </row>
    <row r="382" spans="1:19" x14ac:dyDescent="0.35">
      <c r="A382" s="4">
        <v>43993</v>
      </c>
      <c r="B382" s="2">
        <v>23.190000999999999</v>
      </c>
      <c r="C382" s="2">
        <v>12.203166</v>
      </c>
      <c r="D382" s="2">
        <v>34.509998000000003</v>
      </c>
      <c r="E382" s="2">
        <v>54.350048000000001</v>
      </c>
      <c r="F382" s="8">
        <v>1272.030029</v>
      </c>
      <c r="G382" s="12">
        <f t="shared" si="44"/>
        <v>-4.4695422994017547E-2</v>
      </c>
      <c r="H382" s="3">
        <f t="shared" si="45"/>
        <v>-1.0362761691438923E-2</v>
      </c>
      <c r="I382" s="3">
        <f t="shared" si="46"/>
        <v>-2.3483438824472E-2</v>
      </c>
      <c r="J382" s="3">
        <f t="shared" si="47"/>
        <v>-1.6395223375421295E-2</v>
      </c>
      <c r="K382" s="14">
        <f t="shared" si="48"/>
        <v>-6.9098289583550288E-3</v>
      </c>
      <c r="L382" s="9">
        <v>0</v>
      </c>
      <c r="M382" s="2">
        <v>0.3</v>
      </c>
      <c r="N382" s="2">
        <v>0.5</v>
      </c>
      <c r="O382" s="2">
        <v>0.1</v>
      </c>
      <c r="P382" s="8">
        <v>0.1</v>
      </c>
      <c r="Q382" s="12">
        <f t="shared" si="41"/>
        <v>1.9957973711638114E-4</v>
      </c>
      <c r="R382" s="3">
        <f t="shared" si="42"/>
        <v>2.1677948901567399E-4</v>
      </c>
      <c r="S382" s="14">
        <f t="shared" si="43"/>
        <v>1.4723433329752745E-2</v>
      </c>
    </row>
    <row r="383" spans="1:19" x14ac:dyDescent="0.35">
      <c r="A383" s="4">
        <v>43994</v>
      </c>
      <c r="B383" s="2">
        <v>24.940000999999999</v>
      </c>
      <c r="C383" s="2">
        <v>12.212944</v>
      </c>
      <c r="D383" s="2">
        <v>35.090000000000003</v>
      </c>
      <c r="E383" s="2">
        <v>53.698441000000003</v>
      </c>
      <c r="F383" s="8">
        <v>1271.119995</v>
      </c>
      <c r="G383" s="12">
        <f t="shared" si="44"/>
        <v>7.2751785958645759E-2</v>
      </c>
      <c r="H383" s="3">
        <f t="shared" si="45"/>
        <v>8.0094663095213242E-4</v>
      </c>
      <c r="I383" s="3">
        <f t="shared" si="46"/>
        <v>1.6667110439429533E-2</v>
      </c>
      <c r="J383" s="3">
        <f t="shared" si="47"/>
        <v>-1.2061527295465294E-2</v>
      </c>
      <c r="K383" s="14">
        <f t="shared" si="48"/>
        <v>-7.1567467923988951E-4</v>
      </c>
      <c r="L383" s="9">
        <v>0.2</v>
      </c>
      <c r="M383" s="2">
        <v>0</v>
      </c>
      <c r="N383" s="2">
        <v>0.6</v>
      </c>
      <c r="O383" s="2">
        <v>0.1</v>
      </c>
      <c r="P383" s="8">
        <v>0.1</v>
      </c>
      <c r="Q383" s="12">
        <f t="shared" si="41"/>
        <v>4.3561092800113119E-5</v>
      </c>
      <c r="R383" s="3">
        <f t="shared" si="42"/>
        <v>2.5367810757434789E-4</v>
      </c>
      <c r="S383" s="14">
        <f t="shared" si="43"/>
        <v>1.5927275585433557E-2</v>
      </c>
    </row>
    <row r="384" spans="1:19" x14ac:dyDescent="0.35">
      <c r="A384" s="4">
        <v>43997</v>
      </c>
      <c r="B384" s="2">
        <v>24.709999</v>
      </c>
      <c r="C384" s="2">
        <v>12.310727</v>
      </c>
      <c r="D384" s="2">
        <v>35.159999999999997</v>
      </c>
      <c r="E384" s="2">
        <v>54.586998000000001</v>
      </c>
      <c r="F384" s="8">
        <v>1264.3900149999999</v>
      </c>
      <c r="G384" s="12">
        <f t="shared" si="44"/>
        <v>-9.2650008170481538E-3</v>
      </c>
      <c r="H384" s="3">
        <f t="shared" si="45"/>
        <v>7.9746232287552458E-3</v>
      </c>
      <c r="I384" s="3">
        <f t="shared" si="46"/>
        <v>1.9928832218522193E-3</v>
      </c>
      <c r="J384" s="3">
        <f t="shared" si="47"/>
        <v>1.6411753088795621E-2</v>
      </c>
      <c r="K384" s="14">
        <f t="shared" si="48"/>
        <v>-5.3085933625491733E-3</v>
      </c>
      <c r="L384" s="9">
        <v>0.1</v>
      </c>
      <c r="M384" s="2">
        <v>0.1</v>
      </c>
      <c r="N384" s="2">
        <v>0.6</v>
      </c>
      <c r="O384" s="2">
        <v>0.1</v>
      </c>
      <c r="P384" s="8">
        <v>0.1</v>
      </c>
      <c r="Q384" s="12">
        <f t="shared" si="41"/>
        <v>1.4381728154953192E-4</v>
      </c>
      <c r="R384" s="3">
        <f t="shared" si="42"/>
        <v>2.3748139937187498E-4</v>
      </c>
      <c r="S384" s="14">
        <f t="shared" si="43"/>
        <v>1.5410431511540323E-2</v>
      </c>
    </row>
    <row r="385" spans="1:19" x14ac:dyDescent="0.35">
      <c r="A385" s="4">
        <v>43998</v>
      </c>
      <c r="B385" s="2">
        <v>24.360001</v>
      </c>
      <c r="C385" s="2">
        <v>12.525847000000001</v>
      </c>
      <c r="D385" s="2">
        <v>35.650002000000001</v>
      </c>
      <c r="E385" s="2">
        <v>54.083480999999999</v>
      </c>
      <c r="F385" s="8">
        <v>1265.4499510000001</v>
      </c>
      <c r="G385" s="12">
        <f t="shared" si="44"/>
        <v>-1.4265495638473791E-2</v>
      </c>
      <c r="H385" s="3">
        <f t="shared" si="45"/>
        <v>1.7323273305765441E-2</v>
      </c>
      <c r="I385" s="3">
        <f t="shared" si="46"/>
        <v>1.384013014430892E-2</v>
      </c>
      <c r="J385" s="3">
        <f t="shared" si="47"/>
        <v>-9.2669252580785139E-3</v>
      </c>
      <c r="K385" s="14">
        <f t="shared" si="48"/>
        <v>8.3794712413851318E-4</v>
      </c>
      <c r="L385" s="9">
        <v>0</v>
      </c>
      <c r="M385" s="2">
        <v>0.2</v>
      </c>
      <c r="N385" s="2">
        <v>0.6</v>
      </c>
      <c r="O385" s="2">
        <v>0.1</v>
      </c>
      <c r="P385" s="8">
        <v>0.1</v>
      </c>
      <c r="Q385" s="12">
        <f t="shared" si="41"/>
        <v>2.4407347029895075E-4</v>
      </c>
      <c r="R385" s="3">
        <f t="shared" si="42"/>
        <v>2.4585267125053255E-4</v>
      </c>
      <c r="S385" s="14">
        <f t="shared" si="43"/>
        <v>1.5679689768950549E-2</v>
      </c>
    </row>
    <row r="386" spans="1:19" x14ac:dyDescent="0.35">
      <c r="A386" s="4">
        <v>43999</v>
      </c>
      <c r="B386" s="2">
        <v>24.190000999999999</v>
      </c>
      <c r="C386" s="2">
        <v>12.555182</v>
      </c>
      <c r="D386" s="2">
        <v>37.540000999999997</v>
      </c>
      <c r="E386" s="2">
        <v>54.527760000000001</v>
      </c>
      <c r="F386" s="8">
        <v>1268.26001</v>
      </c>
      <c r="G386" s="12">
        <f t="shared" si="44"/>
        <v>-7.0031179312671065E-3</v>
      </c>
      <c r="H386" s="3">
        <f t="shared" si="45"/>
        <v>2.3392192861487332E-3</v>
      </c>
      <c r="I386" s="3">
        <f t="shared" si="46"/>
        <v>5.1657854835329635E-2</v>
      </c>
      <c r="J386" s="3">
        <f t="shared" si="47"/>
        <v>8.1811325219599395E-3</v>
      </c>
      <c r="K386" s="14">
        <f t="shared" si="48"/>
        <v>2.2181387731117722E-3</v>
      </c>
      <c r="L386" s="9">
        <v>0.1</v>
      </c>
      <c r="M386" s="2">
        <v>0</v>
      </c>
      <c r="N386" s="2">
        <v>0.7</v>
      </c>
      <c r="O386" s="2">
        <v>0.1</v>
      </c>
      <c r="P386" s="8">
        <v>0.1</v>
      </c>
      <c r="Q386" s="12">
        <f t="shared" si="41"/>
        <v>1.8831101473210153E-4</v>
      </c>
      <c r="R386" s="3">
        <f t="shared" si="42"/>
        <v>2.8504680753386514E-4</v>
      </c>
      <c r="S386" s="14">
        <f t="shared" si="43"/>
        <v>1.6883329278725365E-2</v>
      </c>
    </row>
    <row r="387" spans="1:19" x14ac:dyDescent="0.35">
      <c r="A387" s="4">
        <v>44000</v>
      </c>
      <c r="B387" s="2">
        <v>23.290001</v>
      </c>
      <c r="C387" s="2">
        <v>12.379173</v>
      </c>
      <c r="D387" s="2">
        <v>37.020000000000003</v>
      </c>
      <c r="E387" s="2">
        <v>53.886023999999999</v>
      </c>
      <c r="F387" s="8">
        <v>1265.380005</v>
      </c>
      <c r="G387" s="12">
        <f t="shared" si="44"/>
        <v>-3.7915239128199919E-2</v>
      </c>
      <c r="H387" s="3">
        <f t="shared" si="45"/>
        <v>-1.4118024988388817E-2</v>
      </c>
      <c r="I387" s="3">
        <f t="shared" si="46"/>
        <v>-1.3948750651263268E-2</v>
      </c>
      <c r="J387" s="3">
        <f t="shared" si="47"/>
        <v>-1.1838780487244068E-2</v>
      </c>
      <c r="K387" s="14">
        <f t="shared" si="48"/>
        <v>-2.2734139209753469E-3</v>
      </c>
      <c r="L387" s="9">
        <v>0</v>
      </c>
      <c r="M387" s="2">
        <v>0.1</v>
      </c>
      <c r="N387" s="2">
        <v>0.7</v>
      </c>
      <c r="O387" s="2">
        <v>0.1</v>
      </c>
      <c r="P387" s="8">
        <v>0.1</v>
      </c>
      <c r="Q387" s="12">
        <f t="shared" ref="Q387:Q450" si="49">SUMPRODUCT($U$5:$Y$5,L387:P387)</f>
        <v>2.8856720348152036E-4</v>
      </c>
      <c r="R387" s="3">
        <f t="shared" ref="R387:R450" si="50">POWER(L387,2)*$V$9+POWER(M387,2)*$W$10+POWER(N387,2)*$X$11+POWER(O387,2)*$Y$12+POWER(P387,2)*$Z$13+2*(L387*M387*$V$10+N387*O387*$X$12+N387*P387*$X$13+$O$3*P387*$Y$13+L387*N387*$V$11+L387*O387*$V$12+L387*P387*$V$13+M387*N387*$W$11+M387*O387*$W$12+M387*P387*$W$13)</f>
        <v>2.8912438745533185E-4</v>
      </c>
      <c r="S387" s="14">
        <f t="shared" si="43"/>
        <v>1.7003658060997694E-2</v>
      </c>
    </row>
    <row r="388" spans="1:19" x14ac:dyDescent="0.35">
      <c r="A388" s="4">
        <v>44001</v>
      </c>
      <c r="B388" s="2">
        <v>23.32</v>
      </c>
      <c r="C388" s="2">
        <v>12.418286</v>
      </c>
      <c r="D388" s="2">
        <v>37.830002</v>
      </c>
      <c r="E388" s="2">
        <v>54.280937000000002</v>
      </c>
      <c r="F388" s="8">
        <v>1271.6099850000001</v>
      </c>
      <c r="G388" s="12">
        <f t="shared" si="44"/>
        <v>1.2872346491601316E-3</v>
      </c>
      <c r="H388" s="3">
        <f t="shared" si="45"/>
        <v>3.1546000286628547E-3</v>
      </c>
      <c r="I388" s="3">
        <f t="shared" si="46"/>
        <v>2.1644184367679106E-2</v>
      </c>
      <c r="J388" s="3">
        <f t="shared" si="47"/>
        <v>7.3019478596110078E-3</v>
      </c>
      <c r="K388" s="14">
        <f t="shared" si="48"/>
        <v>4.9113260575680967E-3</v>
      </c>
      <c r="L388" s="9">
        <v>0</v>
      </c>
      <c r="M388" s="2">
        <v>0</v>
      </c>
      <c r="N388" s="2">
        <v>0.8</v>
      </c>
      <c r="O388" s="2">
        <v>0.1</v>
      </c>
      <c r="P388" s="8">
        <v>0.1</v>
      </c>
      <c r="Q388" s="12">
        <f t="shared" si="49"/>
        <v>3.3306093666408997E-4</v>
      </c>
      <c r="R388" s="3">
        <f t="shared" si="50"/>
        <v>3.465946376300721E-4</v>
      </c>
      <c r="S388" s="14">
        <f t="shared" ref="S388:S451" si="51">SQRT(R388)</f>
        <v>1.8617052334622474E-2</v>
      </c>
    </row>
    <row r="389" spans="1:19" x14ac:dyDescent="0.35">
      <c r="A389" s="4">
        <v>44004</v>
      </c>
      <c r="B389" s="2">
        <v>23.01</v>
      </c>
      <c r="C389" s="2">
        <v>12.516068000000001</v>
      </c>
      <c r="D389" s="2">
        <v>38.520000000000003</v>
      </c>
      <c r="E389" s="2">
        <v>54.201565000000002</v>
      </c>
      <c r="F389" s="8">
        <v>1269.829956</v>
      </c>
      <c r="G389" s="12">
        <f t="shared" ref="G389:G452" si="52">LN(B389/B388)</f>
        <v>-1.3382457435017101E-2</v>
      </c>
      <c r="H389" s="3">
        <f t="shared" ref="H389:H452" si="53">LN(C389/C388)</f>
        <v>7.8431950761781236E-3</v>
      </c>
      <c r="I389" s="3">
        <f t="shared" ref="I389:I452" si="54">LN(D389/D388)</f>
        <v>1.8075095416894282E-2</v>
      </c>
      <c r="J389" s="3">
        <f t="shared" ref="J389:J452" si="55">LN(E389/E388)</f>
        <v>-1.4633145935959474E-3</v>
      </c>
      <c r="K389" s="14">
        <f t="shared" ref="K389:K452" si="56">LN(F389/F388)</f>
        <v>-1.4008037430713904E-3</v>
      </c>
      <c r="L389" s="9">
        <v>0.7</v>
      </c>
      <c r="M389" s="2">
        <v>0</v>
      </c>
      <c r="N389" s="2">
        <v>0</v>
      </c>
      <c r="O389" s="2">
        <v>0.2</v>
      </c>
      <c r="P389" s="8">
        <v>0.1</v>
      </c>
      <c r="Q389" s="12">
        <f t="shared" si="49"/>
        <v>-6.8238664492788626E-4</v>
      </c>
      <c r="R389" s="3">
        <f t="shared" si="50"/>
        <v>5.5524230917474771E-4</v>
      </c>
      <c r="S389" s="14">
        <f t="shared" si="51"/>
        <v>2.3563580143406641E-2</v>
      </c>
    </row>
    <row r="390" spans="1:19" x14ac:dyDescent="0.35">
      <c r="A390" s="4">
        <v>44005</v>
      </c>
      <c r="B390" s="2">
        <v>23.85</v>
      </c>
      <c r="C390" s="2">
        <v>12.379173</v>
      </c>
      <c r="D390" s="2">
        <v>39.479999999999997</v>
      </c>
      <c r="E390" s="2">
        <v>54.479370000000003</v>
      </c>
      <c r="F390" s="8">
        <v>1262.030029</v>
      </c>
      <c r="G390" s="12">
        <f t="shared" si="52"/>
        <v>3.5855313287075787E-2</v>
      </c>
      <c r="H390" s="3">
        <f t="shared" si="53"/>
        <v>-1.0997795104841066E-2</v>
      </c>
      <c r="I390" s="3">
        <f t="shared" si="54"/>
        <v>2.4616627635355812E-2</v>
      </c>
      <c r="J390" s="3">
        <f t="shared" si="55"/>
        <v>5.1123153302584066E-3</v>
      </c>
      <c r="K390" s="14">
        <f t="shared" si="56"/>
        <v>-6.1614399865214395E-3</v>
      </c>
      <c r="L390" s="9">
        <v>0.6</v>
      </c>
      <c r="M390" s="2">
        <v>0.1</v>
      </c>
      <c r="N390" s="2">
        <v>0</v>
      </c>
      <c r="O390" s="2">
        <v>0.2</v>
      </c>
      <c r="P390" s="8">
        <v>0.1</v>
      </c>
      <c r="Q390" s="12">
        <f t="shared" si="49"/>
        <v>-5.8213045617846744E-4</v>
      </c>
      <c r="R390" s="3">
        <f t="shared" si="50"/>
        <v>4.3633566624612992E-4</v>
      </c>
      <c r="S390" s="14">
        <f t="shared" si="51"/>
        <v>2.0888649220237528E-2</v>
      </c>
    </row>
    <row r="391" spans="1:19" x14ac:dyDescent="0.35">
      <c r="A391" s="4">
        <v>44006</v>
      </c>
      <c r="B391" s="2">
        <v>23.389999</v>
      </c>
      <c r="C391" s="2">
        <v>12.271614</v>
      </c>
      <c r="D391" s="2">
        <v>38.990001999999997</v>
      </c>
      <c r="E391" s="2">
        <v>55.044899000000001</v>
      </c>
      <c r="F391" s="8">
        <v>1261.910034</v>
      </c>
      <c r="G391" s="12">
        <f t="shared" si="52"/>
        <v>-1.9475679491576921E-2</v>
      </c>
      <c r="H391" s="3">
        <f t="shared" si="53"/>
        <v>-8.7266733182910592E-3</v>
      </c>
      <c r="I391" s="3">
        <f t="shared" si="54"/>
        <v>-1.2488960275572289E-2</v>
      </c>
      <c r="J391" s="3">
        <f t="shared" si="55"/>
        <v>1.0327099760555009E-2</v>
      </c>
      <c r="K391" s="14">
        <f t="shared" si="56"/>
        <v>-9.508545931770704E-5</v>
      </c>
      <c r="L391" s="9">
        <v>0.5</v>
      </c>
      <c r="M391" s="2">
        <v>0.2</v>
      </c>
      <c r="N391" s="2">
        <v>0</v>
      </c>
      <c r="O391" s="2">
        <v>0.2</v>
      </c>
      <c r="P391" s="8">
        <v>0.1</v>
      </c>
      <c r="Q391" s="12">
        <f t="shared" si="49"/>
        <v>-4.8187426742904872E-4</v>
      </c>
      <c r="R391" s="3">
        <f t="shared" si="50"/>
        <v>3.419970033986425E-4</v>
      </c>
      <c r="S391" s="14">
        <f t="shared" si="51"/>
        <v>1.8493160989907661E-2</v>
      </c>
    </row>
    <row r="392" spans="1:19" x14ac:dyDescent="0.35">
      <c r="A392" s="4">
        <v>44007</v>
      </c>
      <c r="B392" s="2">
        <v>23.110001</v>
      </c>
      <c r="C392" s="2">
        <v>11.988047</v>
      </c>
      <c r="D392" s="2">
        <v>39.240001999999997</v>
      </c>
      <c r="E392" s="2">
        <v>54.628193000000003</v>
      </c>
      <c r="F392" s="8">
        <v>1278.119995</v>
      </c>
      <c r="G392" s="12">
        <f t="shared" si="52"/>
        <v>-1.2043070285173728E-2</v>
      </c>
      <c r="H392" s="3">
        <f t="shared" si="53"/>
        <v>-2.3378720380460929E-2</v>
      </c>
      <c r="I392" s="3">
        <f t="shared" si="54"/>
        <v>6.3914313758520235E-3</v>
      </c>
      <c r="J392" s="3">
        <f t="shared" si="55"/>
        <v>-7.5990928616138731E-3</v>
      </c>
      <c r="K392" s="14">
        <f t="shared" si="56"/>
        <v>1.2763771202123245E-2</v>
      </c>
      <c r="L392" s="9">
        <v>0.4</v>
      </c>
      <c r="M392" s="2">
        <v>0.3</v>
      </c>
      <c r="N392" s="2">
        <v>0</v>
      </c>
      <c r="O392" s="2">
        <v>0.2</v>
      </c>
      <c r="P392" s="8">
        <v>0.1</v>
      </c>
      <c r="Q392" s="12">
        <f t="shared" si="49"/>
        <v>-3.8161807867962983E-4</v>
      </c>
      <c r="R392" s="3">
        <f t="shared" si="50"/>
        <v>2.7222632063228567E-4</v>
      </c>
      <c r="S392" s="14">
        <f t="shared" si="51"/>
        <v>1.6499282427799265E-2</v>
      </c>
    </row>
    <row r="393" spans="1:19" x14ac:dyDescent="0.35">
      <c r="A393" s="4">
        <v>44008</v>
      </c>
      <c r="B393" s="2">
        <v>22.51</v>
      </c>
      <c r="C393" s="2">
        <v>12.320505000000001</v>
      </c>
      <c r="D393" s="2">
        <v>39.470001000000003</v>
      </c>
      <c r="E393" s="2">
        <v>54.588509000000002</v>
      </c>
      <c r="F393" s="8">
        <v>1262.6400149999999</v>
      </c>
      <c r="G393" s="12">
        <f t="shared" si="52"/>
        <v>-2.6305812638958669E-2</v>
      </c>
      <c r="H393" s="3">
        <f t="shared" si="53"/>
        <v>2.7354877491051137E-2</v>
      </c>
      <c r="I393" s="3">
        <f t="shared" si="54"/>
        <v>5.8442293448930189E-3</v>
      </c>
      <c r="J393" s="3">
        <f t="shared" si="55"/>
        <v>-7.2670207064881457E-4</v>
      </c>
      <c r="K393" s="14">
        <f t="shared" si="56"/>
        <v>-1.2185465360546854E-2</v>
      </c>
      <c r="L393" s="9">
        <v>0.3</v>
      </c>
      <c r="M393" s="2">
        <v>0.4</v>
      </c>
      <c r="N393" s="2">
        <v>0</v>
      </c>
      <c r="O393" s="2">
        <v>0.2</v>
      </c>
      <c r="P393" s="8">
        <v>0.1</v>
      </c>
      <c r="Q393" s="12">
        <f t="shared" si="49"/>
        <v>-2.8136188993021095E-4</v>
      </c>
      <c r="R393" s="3">
        <f t="shared" si="50"/>
        <v>2.2702361794705924E-4</v>
      </c>
      <c r="S393" s="14">
        <f t="shared" si="51"/>
        <v>1.5067302942035088E-2</v>
      </c>
    </row>
    <row r="394" spans="1:19" x14ac:dyDescent="0.35">
      <c r="A394" s="4">
        <v>44011</v>
      </c>
      <c r="B394" s="2">
        <v>22.85</v>
      </c>
      <c r="C394" s="2">
        <v>12.017381</v>
      </c>
      <c r="D394" s="2">
        <v>38.970001000000003</v>
      </c>
      <c r="E394" s="2">
        <v>55.084586999999999</v>
      </c>
      <c r="F394" s="8">
        <v>1263.98999</v>
      </c>
      <c r="G394" s="12">
        <f t="shared" si="52"/>
        <v>1.4991462421572798E-2</v>
      </c>
      <c r="H394" s="3">
        <f t="shared" si="53"/>
        <v>-2.4910929014005413E-2</v>
      </c>
      <c r="I394" s="3">
        <f t="shared" si="54"/>
        <v>-1.2748769999071241E-2</v>
      </c>
      <c r="J394" s="3">
        <f t="shared" si="55"/>
        <v>9.0465465340291099E-3</v>
      </c>
      <c r="K394" s="14">
        <f t="shared" si="56"/>
        <v>1.0685974011152258E-3</v>
      </c>
      <c r="L394" s="9">
        <v>0.2</v>
      </c>
      <c r="M394" s="2">
        <v>0.5</v>
      </c>
      <c r="N394" s="2">
        <v>0</v>
      </c>
      <c r="O394" s="2">
        <v>0.2</v>
      </c>
      <c r="P394" s="8">
        <v>0.1</v>
      </c>
      <c r="Q394" s="12">
        <f t="shared" si="49"/>
        <v>-1.8110570118079218E-4</v>
      </c>
      <c r="R394" s="3">
        <f t="shared" si="50"/>
        <v>2.0638889534296329E-4</v>
      </c>
      <c r="S394" s="14">
        <f t="shared" si="51"/>
        <v>1.4366241517633041E-2</v>
      </c>
    </row>
    <row r="395" spans="1:19" x14ac:dyDescent="0.35">
      <c r="A395" s="4">
        <v>44012</v>
      </c>
      <c r="B395" s="2">
        <v>22.610001</v>
      </c>
      <c r="C395" s="2">
        <v>11.880485999999999</v>
      </c>
      <c r="D395" s="2">
        <v>38.470001000000003</v>
      </c>
      <c r="E395" s="2">
        <v>54.717486999999998</v>
      </c>
      <c r="F395" s="8">
        <v>1260.339966</v>
      </c>
      <c r="G395" s="12">
        <f t="shared" si="52"/>
        <v>-1.0558786822118645E-2</v>
      </c>
      <c r="H395" s="3">
        <f t="shared" si="53"/>
        <v>-1.1456796322376995E-2</v>
      </c>
      <c r="I395" s="3">
        <f t="shared" si="54"/>
        <v>-1.2913402252897563E-2</v>
      </c>
      <c r="J395" s="3">
        <f t="shared" si="55"/>
        <v>-6.6866017079432018E-3</v>
      </c>
      <c r="K395" s="14">
        <f t="shared" si="56"/>
        <v>-2.8918775337377291E-3</v>
      </c>
      <c r="L395" s="9">
        <v>0.1</v>
      </c>
      <c r="M395" s="2">
        <v>0.6</v>
      </c>
      <c r="N395" s="2">
        <v>0</v>
      </c>
      <c r="O395" s="2">
        <v>0.2</v>
      </c>
      <c r="P395" s="8">
        <v>0.1</v>
      </c>
      <c r="Q395" s="12">
        <f t="shared" si="49"/>
        <v>-8.0849512431373346E-5</v>
      </c>
      <c r="R395" s="3">
        <f t="shared" si="50"/>
        <v>2.1032215281999782E-4</v>
      </c>
      <c r="S395" s="14">
        <f t="shared" si="51"/>
        <v>1.4502487814854312E-2</v>
      </c>
    </row>
    <row r="396" spans="1:19" x14ac:dyDescent="0.35">
      <c r="A396" s="4">
        <v>44013</v>
      </c>
      <c r="B396" s="2">
        <v>22.58</v>
      </c>
      <c r="C396" s="2">
        <v>11.763147999999999</v>
      </c>
      <c r="D396" s="2">
        <v>38.990001999999997</v>
      </c>
      <c r="E396" s="2">
        <v>55.342545000000001</v>
      </c>
      <c r="F396" s="8">
        <v>1260.030029</v>
      </c>
      <c r="G396" s="12">
        <f t="shared" si="52"/>
        <v>-1.3277717965792337E-3</v>
      </c>
      <c r="H396" s="3">
        <f t="shared" si="53"/>
        <v>-9.9256284651356146E-3</v>
      </c>
      <c r="I396" s="3">
        <f t="shared" si="54"/>
        <v>1.3426511531223623E-2</v>
      </c>
      <c r="J396" s="3">
        <f t="shared" si="55"/>
        <v>1.1358614184351627E-2</v>
      </c>
      <c r="K396" s="14">
        <f t="shared" si="56"/>
        <v>-2.459456366939607E-4</v>
      </c>
      <c r="L396" s="9">
        <v>0</v>
      </c>
      <c r="M396" s="2">
        <v>0.7</v>
      </c>
      <c r="N396" s="2">
        <v>0</v>
      </c>
      <c r="O396" s="2">
        <v>0.2</v>
      </c>
      <c r="P396" s="8">
        <v>0.1</v>
      </c>
      <c r="Q396" s="12">
        <f t="shared" si="49"/>
        <v>1.9406676318045462E-5</v>
      </c>
      <c r="R396" s="3">
        <f t="shared" si="50"/>
        <v>2.3882339037816283E-4</v>
      </c>
      <c r="S396" s="14">
        <f t="shared" si="51"/>
        <v>1.5453911814753016E-2</v>
      </c>
    </row>
    <row r="397" spans="1:19" x14ac:dyDescent="0.35">
      <c r="A397" s="4">
        <v>44014</v>
      </c>
      <c r="B397" s="2">
        <v>22.379999000000002</v>
      </c>
      <c r="C397" s="2">
        <v>11.460025999999999</v>
      </c>
      <c r="D397" s="2">
        <v>39</v>
      </c>
      <c r="E397" s="2">
        <v>56.483528</v>
      </c>
      <c r="F397" s="8">
        <v>1260.25</v>
      </c>
      <c r="G397" s="12">
        <f t="shared" si="52"/>
        <v>-8.8969005204901312E-3</v>
      </c>
      <c r="H397" s="3">
        <f t="shared" si="53"/>
        <v>-2.6106613678591014E-2</v>
      </c>
      <c r="I397" s="3">
        <f t="shared" si="54"/>
        <v>2.5639183993792598E-4</v>
      </c>
      <c r="J397" s="3">
        <f t="shared" si="55"/>
        <v>2.0407094086918126E-2</v>
      </c>
      <c r="K397" s="14">
        <f t="shared" si="56"/>
        <v>1.7456076152434498E-4</v>
      </c>
      <c r="L397" s="9">
        <v>0.6</v>
      </c>
      <c r="M397" s="2">
        <v>0</v>
      </c>
      <c r="N397" s="2">
        <v>0.1</v>
      </c>
      <c r="O397" s="2">
        <v>0.2</v>
      </c>
      <c r="P397" s="8">
        <v>0.1</v>
      </c>
      <c r="Q397" s="12">
        <f t="shared" si="49"/>
        <v>-5.3763672299589782E-4</v>
      </c>
      <c r="R397" s="3">
        <f t="shared" si="50"/>
        <v>4.2665982495872662E-4</v>
      </c>
      <c r="S397" s="14">
        <f t="shared" si="51"/>
        <v>2.0655745567728284E-2</v>
      </c>
    </row>
    <row r="398" spans="1:19" x14ac:dyDescent="0.35">
      <c r="A398" s="4">
        <v>44015</v>
      </c>
      <c r="B398" s="2">
        <v>23.41</v>
      </c>
      <c r="C398" s="2">
        <v>11.538251000000001</v>
      </c>
      <c r="D398" s="2">
        <v>38.840000000000003</v>
      </c>
      <c r="E398" s="2">
        <v>56.116432000000003</v>
      </c>
      <c r="F398" s="8">
        <v>1262.910034</v>
      </c>
      <c r="G398" s="12">
        <f t="shared" si="52"/>
        <v>4.4995623301793707E-2</v>
      </c>
      <c r="H398" s="3">
        <f t="shared" si="53"/>
        <v>6.8027097566526864E-3</v>
      </c>
      <c r="I398" s="3">
        <f t="shared" si="54"/>
        <v>-4.1110027065222061E-3</v>
      </c>
      <c r="J398" s="3">
        <f t="shared" si="55"/>
        <v>-6.5203806573420177E-3</v>
      </c>
      <c r="K398" s="14">
        <f t="shared" si="56"/>
        <v>2.1084948633005884E-3</v>
      </c>
      <c r="L398" s="9">
        <v>0.5</v>
      </c>
      <c r="M398" s="2">
        <v>0.1</v>
      </c>
      <c r="N398" s="2">
        <v>0.1</v>
      </c>
      <c r="O398" s="2">
        <v>0.2</v>
      </c>
      <c r="P398" s="8">
        <v>0.1</v>
      </c>
      <c r="Q398" s="12">
        <f t="shared" si="49"/>
        <v>-4.373805342464791E-4</v>
      </c>
      <c r="R398" s="3">
        <f t="shared" si="50"/>
        <v>3.2802747015404839E-4</v>
      </c>
      <c r="S398" s="14">
        <f t="shared" si="51"/>
        <v>1.8111528653154831E-2</v>
      </c>
    </row>
    <row r="399" spans="1:19" x14ac:dyDescent="0.35">
      <c r="A399" s="4">
        <v>44018</v>
      </c>
      <c r="B399" s="2">
        <v>23.5</v>
      </c>
      <c r="C399" s="2">
        <v>11.772926</v>
      </c>
      <c r="D399" s="2">
        <v>39.119999</v>
      </c>
      <c r="E399" s="2">
        <v>54.528976</v>
      </c>
      <c r="F399" s="8">
        <v>1267.4399410000001</v>
      </c>
      <c r="G399" s="12">
        <f t="shared" si="52"/>
        <v>3.8371396472939444E-3</v>
      </c>
      <c r="H399" s="3">
        <f t="shared" si="53"/>
        <v>2.0134798706051345E-2</v>
      </c>
      <c r="I399" s="3">
        <f t="shared" si="54"/>
        <v>7.1831761811197419E-3</v>
      </c>
      <c r="J399" s="3">
        <f t="shared" si="55"/>
        <v>-2.8696445058351332E-2</v>
      </c>
      <c r="K399" s="14">
        <f t="shared" si="56"/>
        <v>3.5804626902184314E-3</v>
      </c>
      <c r="L399" s="9">
        <v>0.4</v>
      </c>
      <c r="M399" s="2">
        <v>0.2</v>
      </c>
      <c r="N399" s="2">
        <v>0.1</v>
      </c>
      <c r="O399" s="2">
        <v>0.2</v>
      </c>
      <c r="P399" s="8">
        <v>0.1</v>
      </c>
      <c r="Q399" s="12">
        <f t="shared" si="49"/>
        <v>-3.3712434549706017E-4</v>
      </c>
      <c r="R399" s="3">
        <f t="shared" si="50"/>
        <v>2.5396309543050064E-4</v>
      </c>
      <c r="S399" s="14">
        <f t="shared" si="51"/>
        <v>1.5936219609132544E-2</v>
      </c>
    </row>
    <row r="400" spans="1:19" x14ac:dyDescent="0.35">
      <c r="A400" s="4">
        <v>44019</v>
      </c>
      <c r="B400" s="2">
        <v>23.33</v>
      </c>
      <c r="C400" s="2">
        <v>11.929378</v>
      </c>
      <c r="D400" s="2">
        <v>39.520000000000003</v>
      </c>
      <c r="E400" s="2">
        <v>55.372311000000003</v>
      </c>
      <c r="F400" s="8">
        <v>1278.4399410000001</v>
      </c>
      <c r="G400" s="12">
        <f t="shared" si="52"/>
        <v>-7.2603351167747875E-3</v>
      </c>
      <c r="H400" s="3">
        <f t="shared" si="53"/>
        <v>1.3201608774421562E-2</v>
      </c>
      <c r="I400" s="3">
        <f t="shared" si="54"/>
        <v>1.0173053275422984E-2</v>
      </c>
      <c r="J400" s="3">
        <f t="shared" si="55"/>
        <v>1.5347437259123443E-2</v>
      </c>
      <c r="K400" s="14">
        <f t="shared" si="56"/>
        <v>8.6414669676497698E-3</v>
      </c>
      <c r="L400" s="9">
        <v>0.3</v>
      </c>
      <c r="M400" s="2">
        <v>0.3</v>
      </c>
      <c r="N400" s="2">
        <v>0.1</v>
      </c>
      <c r="O400" s="2">
        <v>0.2</v>
      </c>
      <c r="P400" s="8">
        <v>0.1</v>
      </c>
      <c r="Q400" s="12">
        <f t="shared" si="49"/>
        <v>-2.3686815674764134E-4</v>
      </c>
      <c r="R400" s="3">
        <f t="shared" si="50"/>
        <v>2.0446670078808329E-4</v>
      </c>
      <c r="S400" s="14">
        <f t="shared" si="51"/>
        <v>1.4299185319034203E-2</v>
      </c>
    </row>
    <row r="401" spans="1:19" x14ac:dyDescent="0.35">
      <c r="A401" s="4">
        <v>44020</v>
      </c>
      <c r="B401" s="2">
        <v>22.870000999999998</v>
      </c>
      <c r="C401" s="2">
        <v>11.900043</v>
      </c>
      <c r="D401" s="2">
        <v>38.439999</v>
      </c>
      <c r="E401" s="2">
        <v>54.737327999999998</v>
      </c>
      <c r="F401" s="8">
        <v>1260.3900149999999</v>
      </c>
      <c r="G401" s="12">
        <f t="shared" si="52"/>
        <v>-1.9914034273245299E-2</v>
      </c>
      <c r="H401" s="3">
        <f t="shared" si="53"/>
        <v>-2.4620837257196995E-3</v>
      </c>
      <c r="I401" s="3">
        <f t="shared" si="54"/>
        <v>-2.7708314792143838E-2</v>
      </c>
      <c r="J401" s="3">
        <f t="shared" si="55"/>
        <v>-1.1533777514165396E-2</v>
      </c>
      <c r="K401" s="14">
        <f t="shared" si="56"/>
        <v>-1.4219329720395536E-2</v>
      </c>
      <c r="L401" s="9">
        <v>0.2</v>
      </c>
      <c r="M401" s="2">
        <v>0.4</v>
      </c>
      <c r="N401" s="2">
        <v>0.1</v>
      </c>
      <c r="O401" s="2">
        <v>0.2</v>
      </c>
      <c r="P401" s="8">
        <v>0.1</v>
      </c>
      <c r="Q401" s="12">
        <f t="shared" si="49"/>
        <v>-1.3661196799822251E-4</v>
      </c>
      <c r="R401" s="3">
        <f t="shared" si="50"/>
        <v>1.795382862267965E-4</v>
      </c>
      <c r="S401" s="14">
        <f t="shared" si="51"/>
        <v>1.3399189760086111E-2</v>
      </c>
    </row>
    <row r="402" spans="1:19" x14ac:dyDescent="0.35">
      <c r="A402" s="4">
        <v>44021</v>
      </c>
      <c r="B402" s="2">
        <v>22.200001</v>
      </c>
      <c r="C402" s="2">
        <v>11.499138</v>
      </c>
      <c r="D402" s="2">
        <v>37.369999</v>
      </c>
      <c r="E402" s="2">
        <v>54.588509000000002</v>
      </c>
      <c r="F402" s="8">
        <v>1259.839966</v>
      </c>
      <c r="G402" s="12">
        <f t="shared" si="52"/>
        <v>-2.9733717836815391E-2</v>
      </c>
      <c r="H402" s="3">
        <f t="shared" si="53"/>
        <v>-3.4269937518248542E-2</v>
      </c>
      <c r="I402" s="3">
        <f t="shared" si="54"/>
        <v>-2.8230341349563797E-2</v>
      </c>
      <c r="J402" s="3">
        <f t="shared" si="55"/>
        <v>-2.7224871266199589E-3</v>
      </c>
      <c r="K402" s="14">
        <f t="shared" si="56"/>
        <v>-4.3650699569527772E-4</v>
      </c>
      <c r="L402" s="9">
        <v>0.1</v>
      </c>
      <c r="M402" s="2">
        <v>0.5</v>
      </c>
      <c r="N402" s="2">
        <v>0.1</v>
      </c>
      <c r="O402" s="2">
        <v>0.2</v>
      </c>
      <c r="P402" s="8">
        <v>0.1</v>
      </c>
      <c r="Q402" s="12">
        <f t="shared" si="49"/>
        <v>-3.6355779248803762E-5</v>
      </c>
      <c r="R402" s="3">
        <f t="shared" si="50"/>
        <v>1.7917785174664013E-4</v>
      </c>
      <c r="S402" s="14">
        <f t="shared" si="51"/>
        <v>1.3385733141917933E-2</v>
      </c>
    </row>
    <row r="403" spans="1:19" x14ac:dyDescent="0.35">
      <c r="A403" s="4">
        <v>44022</v>
      </c>
      <c r="B403" s="2">
        <v>21.75</v>
      </c>
      <c r="C403" s="2">
        <v>11.733814000000001</v>
      </c>
      <c r="D403" s="2">
        <v>37.509998000000003</v>
      </c>
      <c r="E403" s="2">
        <v>54.449604000000001</v>
      </c>
      <c r="F403" s="8">
        <v>1237.290039</v>
      </c>
      <c r="G403" s="12">
        <f t="shared" si="52"/>
        <v>-2.0478576388584746E-2</v>
      </c>
      <c r="H403" s="3">
        <f t="shared" si="53"/>
        <v>2.020268296786782E-2</v>
      </c>
      <c r="I403" s="3">
        <f t="shared" si="54"/>
        <v>3.7392940367201805E-3</v>
      </c>
      <c r="J403" s="3">
        <f t="shared" si="55"/>
        <v>-2.5478261007848202E-3</v>
      </c>
      <c r="K403" s="14">
        <f t="shared" si="56"/>
        <v>-1.8061166174329894E-2</v>
      </c>
      <c r="L403" s="9">
        <v>0</v>
      </c>
      <c r="M403" s="2">
        <v>0.6</v>
      </c>
      <c r="N403" s="2">
        <v>0.1</v>
      </c>
      <c r="O403" s="2">
        <v>0.2</v>
      </c>
      <c r="P403" s="8">
        <v>0.1</v>
      </c>
      <c r="Q403" s="12">
        <f t="shared" si="49"/>
        <v>6.3900409500615066E-5</v>
      </c>
      <c r="R403" s="3">
        <f t="shared" si="50"/>
        <v>2.0338539734761428E-4</v>
      </c>
      <c r="S403" s="14">
        <f t="shared" si="51"/>
        <v>1.4261325231114192E-2</v>
      </c>
    </row>
    <row r="404" spans="1:19" x14ac:dyDescent="0.35">
      <c r="A404" s="4">
        <v>44025</v>
      </c>
      <c r="B404" s="2">
        <v>21.42</v>
      </c>
      <c r="C404" s="2">
        <v>11.342688000000001</v>
      </c>
      <c r="D404" s="2">
        <v>37</v>
      </c>
      <c r="E404" s="2">
        <v>53.467368999999998</v>
      </c>
      <c r="F404" s="8">
        <v>1212.719971</v>
      </c>
      <c r="G404" s="12">
        <f t="shared" si="52"/>
        <v>-1.5288692515090354E-2</v>
      </c>
      <c r="H404" s="3">
        <f t="shared" si="53"/>
        <v>-3.3901451758149445E-2</v>
      </c>
      <c r="I404" s="3">
        <f t="shared" si="54"/>
        <v>-1.3689598130455302E-2</v>
      </c>
      <c r="J404" s="3">
        <f t="shared" si="55"/>
        <v>-1.820403403699682E-2</v>
      </c>
      <c r="K404" s="14">
        <f t="shared" si="56"/>
        <v>-2.0057788854912814E-2</v>
      </c>
      <c r="L404" s="9">
        <v>0.5</v>
      </c>
      <c r="M404" s="2">
        <v>0</v>
      </c>
      <c r="N404" s="2">
        <v>0.2</v>
      </c>
      <c r="O404" s="2">
        <v>0.2</v>
      </c>
      <c r="P404" s="8">
        <v>0.1</v>
      </c>
      <c r="Q404" s="12">
        <f t="shared" si="49"/>
        <v>-3.9288680106390933E-4</v>
      </c>
      <c r="R404" s="3">
        <f t="shared" si="50"/>
        <v>3.2825647087939501E-4</v>
      </c>
      <c r="S404" s="14">
        <f t="shared" si="51"/>
        <v>1.8117849510341868E-2</v>
      </c>
    </row>
    <row r="405" spans="1:19" x14ac:dyDescent="0.35">
      <c r="A405" s="4">
        <v>44026</v>
      </c>
      <c r="B405" s="2">
        <v>21.139999</v>
      </c>
      <c r="C405" s="2">
        <v>11.020007</v>
      </c>
      <c r="D405" s="2">
        <v>36.189999</v>
      </c>
      <c r="E405" s="2">
        <v>53.953525999999997</v>
      </c>
      <c r="F405" s="8">
        <v>1199.420044</v>
      </c>
      <c r="G405" s="12">
        <f t="shared" si="52"/>
        <v>-1.3158131881202019E-2</v>
      </c>
      <c r="H405" s="3">
        <f t="shared" si="53"/>
        <v>-2.8860868314525247E-2</v>
      </c>
      <c r="I405" s="3">
        <f t="shared" si="54"/>
        <v>-2.2135102700516315E-2</v>
      </c>
      <c r="J405" s="3">
        <f t="shared" si="55"/>
        <v>9.0515037920895266E-3</v>
      </c>
      <c r="K405" s="14">
        <f t="shared" si="56"/>
        <v>-1.1027603454627057E-2</v>
      </c>
      <c r="L405" s="9">
        <v>0.4</v>
      </c>
      <c r="M405" s="2">
        <v>0.1</v>
      </c>
      <c r="N405" s="2">
        <v>0.2</v>
      </c>
      <c r="O405" s="2">
        <v>0.2</v>
      </c>
      <c r="P405" s="8">
        <v>0.1</v>
      </c>
      <c r="Q405" s="12">
        <f t="shared" si="49"/>
        <v>-2.9263061231449056E-4</v>
      </c>
      <c r="R405" s="3">
        <f t="shared" si="50"/>
        <v>2.498984041986564E-4</v>
      </c>
      <c r="S405" s="14">
        <f t="shared" si="51"/>
        <v>1.5808175233044969E-2</v>
      </c>
    </row>
    <row r="406" spans="1:19" x14ac:dyDescent="0.35">
      <c r="A406" s="4">
        <v>44027</v>
      </c>
      <c r="B406" s="2">
        <v>20.98</v>
      </c>
      <c r="C406" s="2">
        <v>11.10801</v>
      </c>
      <c r="D406" s="2">
        <v>35.799999</v>
      </c>
      <c r="E406" s="2">
        <v>54.171799</v>
      </c>
      <c r="F406" s="8">
        <v>1200.280029</v>
      </c>
      <c r="G406" s="12">
        <f t="shared" si="52"/>
        <v>-7.5973301702496332E-3</v>
      </c>
      <c r="H406" s="3">
        <f t="shared" si="53"/>
        <v>7.9540307629404478E-3</v>
      </c>
      <c r="I406" s="3">
        <f t="shared" si="54"/>
        <v>-1.0834944470014865E-2</v>
      </c>
      <c r="J406" s="3">
        <f t="shared" si="55"/>
        <v>4.0374130019995404E-3</v>
      </c>
      <c r="K406" s="14">
        <f t="shared" si="56"/>
        <v>7.1674376851680861E-4</v>
      </c>
      <c r="L406" s="9">
        <v>0.3</v>
      </c>
      <c r="M406" s="2">
        <v>0.2</v>
      </c>
      <c r="N406" s="2">
        <v>0.2</v>
      </c>
      <c r="O406" s="2">
        <v>0.2</v>
      </c>
      <c r="P406" s="8">
        <v>0.1</v>
      </c>
      <c r="Q406" s="12">
        <f t="shared" si="49"/>
        <v>-1.9237442356507173E-4</v>
      </c>
      <c r="R406" s="3">
        <f t="shared" si="50"/>
        <v>1.961083175990482E-4</v>
      </c>
      <c r="S406" s="14">
        <f t="shared" si="51"/>
        <v>1.4003867951357161E-2</v>
      </c>
    </row>
    <row r="407" spans="1:19" x14ac:dyDescent="0.35">
      <c r="A407" s="4">
        <v>44028</v>
      </c>
      <c r="B407" s="2">
        <v>20.959999</v>
      </c>
      <c r="C407" s="2">
        <v>11.401356</v>
      </c>
      <c r="D407" s="2">
        <v>35.82</v>
      </c>
      <c r="E407" s="2">
        <v>55.590584</v>
      </c>
      <c r="F407" s="8">
        <v>1201.839966</v>
      </c>
      <c r="G407" s="12">
        <f t="shared" si="52"/>
        <v>-9.5379122523453768E-4</v>
      </c>
      <c r="H407" s="3">
        <f t="shared" si="53"/>
        <v>2.6065825998975011E-2</v>
      </c>
      <c r="I407" s="3">
        <f t="shared" si="54"/>
        <v>5.5853115887241167E-4</v>
      </c>
      <c r="J407" s="3">
        <f t="shared" si="55"/>
        <v>2.5853375014451535E-2</v>
      </c>
      <c r="K407" s="14">
        <f t="shared" si="56"/>
        <v>1.2988004117468978E-3</v>
      </c>
      <c r="L407" s="9">
        <v>0.2</v>
      </c>
      <c r="M407" s="2">
        <v>0.3</v>
      </c>
      <c r="N407" s="2">
        <v>0.2</v>
      </c>
      <c r="O407" s="2">
        <v>0.2</v>
      </c>
      <c r="P407" s="8">
        <v>0.1</v>
      </c>
      <c r="Q407" s="12">
        <f t="shared" si="49"/>
        <v>-9.2118234815652953E-5</v>
      </c>
      <c r="R407" s="3">
        <f t="shared" si="50"/>
        <v>1.6688621108057049E-4</v>
      </c>
      <c r="S407" s="14">
        <f t="shared" si="51"/>
        <v>1.291844460763642E-2</v>
      </c>
    </row>
    <row r="408" spans="1:19" x14ac:dyDescent="0.35">
      <c r="A408" s="4">
        <v>44029</v>
      </c>
      <c r="B408" s="2">
        <v>21.040001</v>
      </c>
      <c r="C408" s="2">
        <v>11.567584999999999</v>
      </c>
      <c r="D408" s="2">
        <v>36.360000999999997</v>
      </c>
      <c r="E408" s="2">
        <v>55.987450000000003</v>
      </c>
      <c r="F408" s="8">
        <v>1195.670044</v>
      </c>
      <c r="G408" s="12">
        <f t="shared" si="52"/>
        <v>3.8096236551083975E-3</v>
      </c>
      <c r="H408" s="3">
        <f t="shared" si="53"/>
        <v>1.4474494250589009E-2</v>
      </c>
      <c r="I408" s="3">
        <f t="shared" si="54"/>
        <v>1.4962900179462257E-2</v>
      </c>
      <c r="J408" s="3">
        <f t="shared" si="55"/>
        <v>7.1137240797397418E-3</v>
      </c>
      <c r="K408" s="14">
        <f t="shared" si="56"/>
        <v>-5.1469529594790698E-3</v>
      </c>
      <c r="L408" s="9">
        <v>0.1</v>
      </c>
      <c r="M408" s="2">
        <v>0.4</v>
      </c>
      <c r="N408" s="2">
        <v>0.2</v>
      </c>
      <c r="O408" s="2">
        <v>0.2</v>
      </c>
      <c r="P408" s="8">
        <v>0.1</v>
      </c>
      <c r="Q408" s="12">
        <f t="shared" si="49"/>
        <v>8.1379539337658757E-6</v>
      </c>
      <c r="R408" s="3">
        <f t="shared" si="50"/>
        <v>1.6223208464322329E-4</v>
      </c>
      <c r="S408" s="14">
        <f t="shared" si="51"/>
        <v>1.2737035944175681E-2</v>
      </c>
    </row>
    <row r="409" spans="1:19" x14ac:dyDescent="0.35">
      <c r="A409" s="4">
        <v>44032</v>
      </c>
      <c r="B409" s="2">
        <v>21.02</v>
      </c>
      <c r="C409" s="2">
        <v>11.215571000000001</v>
      </c>
      <c r="D409" s="2">
        <v>36.220001000000003</v>
      </c>
      <c r="E409" s="2">
        <v>55.640194000000001</v>
      </c>
      <c r="F409" s="8">
        <v>1192.880005</v>
      </c>
      <c r="G409" s="12">
        <f t="shared" si="52"/>
        <v>-9.5106994922000308E-4</v>
      </c>
      <c r="H409" s="3">
        <f t="shared" si="53"/>
        <v>-3.0903709315156999E-2</v>
      </c>
      <c r="I409" s="3">
        <f t="shared" si="54"/>
        <v>-3.8578167477050685E-3</v>
      </c>
      <c r="J409" s="3">
        <f t="shared" si="55"/>
        <v>-6.221704727154543E-3</v>
      </c>
      <c r="K409" s="14">
        <f t="shared" si="56"/>
        <v>-2.3361790305448868E-3</v>
      </c>
      <c r="L409" s="9">
        <v>0</v>
      </c>
      <c r="M409" s="2">
        <v>0.5</v>
      </c>
      <c r="N409" s="2">
        <v>0.2</v>
      </c>
      <c r="O409" s="2">
        <v>0.2</v>
      </c>
      <c r="P409" s="8">
        <v>0.1</v>
      </c>
      <c r="Q409" s="12">
        <f t="shared" si="49"/>
        <v>1.0839414268318468E-4</v>
      </c>
      <c r="R409" s="3">
        <f t="shared" si="50"/>
        <v>1.8214593828700651E-4</v>
      </c>
      <c r="S409" s="14">
        <f t="shared" si="51"/>
        <v>1.3496145312162526E-2</v>
      </c>
    </row>
    <row r="410" spans="1:19" x14ac:dyDescent="0.35">
      <c r="A410" s="4">
        <v>44033</v>
      </c>
      <c r="B410" s="2">
        <v>21.27</v>
      </c>
      <c r="C410" s="2">
        <v>11.499138</v>
      </c>
      <c r="D410" s="2">
        <v>36.770000000000003</v>
      </c>
      <c r="E410" s="2">
        <v>56.056899999999999</v>
      </c>
      <c r="F410" s="8">
        <v>1198.8000489999999</v>
      </c>
      <c r="G410" s="12">
        <f t="shared" si="52"/>
        <v>1.182326376334079E-2</v>
      </c>
      <c r="H410" s="3">
        <f t="shared" si="53"/>
        <v>2.4968995407459414E-2</v>
      </c>
      <c r="I410" s="3">
        <f t="shared" si="54"/>
        <v>1.5070815248857845E-2</v>
      </c>
      <c r="J410" s="3">
        <f t="shared" si="55"/>
        <v>7.4613925631655956E-3</v>
      </c>
      <c r="K410" s="14">
        <f t="shared" si="56"/>
        <v>4.9505418425263709E-3</v>
      </c>
      <c r="L410" s="9">
        <v>0.4</v>
      </c>
      <c r="M410" s="2">
        <v>0</v>
      </c>
      <c r="N410" s="2">
        <v>0.3</v>
      </c>
      <c r="O410" s="2">
        <v>0.2</v>
      </c>
      <c r="P410" s="8">
        <v>0.1</v>
      </c>
      <c r="Q410" s="12">
        <f t="shared" si="49"/>
        <v>-2.4813687913192094E-4</v>
      </c>
      <c r="R410" s="3">
        <f t="shared" si="50"/>
        <v>2.6003224693675299E-4</v>
      </c>
      <c r="S410" s="14">
        <f t="shared" si="51"/>
        <v>1.6125515400654735E-2</v>
      </c>
    </row>
    <row r="411" spans="1:19" x14ac:dyDescent="0.35">
      <c r="A411" s="4">
        <v>44034</v>
      </c>
      <c r="B411" s="2">
        <v>22.65</v>
      </c>
      <c r="C411" s="2">
        <v>11.205792000000001</v>
      </c>
      <c r="D411" s="2">
        <v>37.369999</v>
      </c>
      <c r="E411" s="2">
        <v>55.917999000000002</v>
      </c>
      <c r="F411" s="8">
        <v>1200.5699460000001</v>
      </c>
      <c r="G411" s="12">
        <f t="shared" si="52"/>
        <v>6.2862222716897107E-2</v>
      </c>
      <c r="H411" s="3">
        <f t="shared" si="53"/>
        <v>-2.5841288552177273E-2</v>
      </c>
      <c r="I411" s="3">
        <f t="shared" si="54"/>
        <v>1.6185921424778819E-2</v>
      </c>
      <c r="J411" s="3">
        <f t="shared" si="55"/>
        <v>-2.480932289028793E-3</v>
      </c>
      <c r="K411" s="14">
        <f t="shared" si="56"/>
        <v>1.4753017039520607E-3</v>
      </c>
      <c r="L411" s="9">
        <v>0.3</v>
      </c>
      <c r="M411" s="2">
        <v>0.1</v>
      </c>
      <c r="N411" s="2">
        <v>0.3</v>
      </c>
      <c r="O411" s="2">
        <v>0.2</v>
      </c>
      <c r="P411" s="8">
        <v>0.1</v>
      </c>
      <c r="Q411" s="12">
        <f t="shared" si="49"/>
        <v>-1.4788069038250206E-4</v>
      </c>
      <c r="R411" s="3">
        <f t="shared" si="50"/>
        <v>2.0194846837995388E-4</v>
      </c>
      <c r="S411" s="14">
        <f t="shared" si="51"/>
        <v>1.4210857411850767E-2</v>
      </c>
    </row>
    <row r="412" spans="1:19" x14ac:dyDescent="0.35">
      <c r="A412" s="4">
        <v>44035</v>
      </c>
      <c r="B412" s="2">
        <v>22.870000999999998</v>
      </c>
      <c r="C412" s="2">
        <v>11.274240000000001</v>
      </c>
      <c r="D412" s="2">
        <v>37.779998999999997</v>
      </c>
      <c r="E412" s="2">
        <v>55.183799999999998</v>
      </c>
      <c r="F412" s="8">
        <v>1202.150024</v>
      </c>
      <c r="G412" s="12">
        <f t="shared" si="52"/>
        <v>9.6661998310503348E-3</v>
      </c>
      <c r="H412" s="3">
        <f t="shared" si="53"/>
        <v>6.0896898659971539E-3</v>
      </c>
      <c r="I412" s="3">
        <f t="shared" si="54"/>
        <v>1.0911618866372373E-2</v>
      </c>
      <c r="J412" s="3">
        <f t="shared" si="55"/>
        <v>-1.3216882074508388E-2</v>
      </c>
      <c r="K412" s="14">
        <f t="shared" si="56"/>
        <v>1.3152412661523302E-3</v>
      </c>
      <c r="L412" s="9">
        <v>0.2</v>
      </c>
      <c r="M412" s="2">
        <v>0.2</v>
      </c>
      <c r="N412" s="2">
        <v>0.3</v>
      </c>
      <c r="O412" s="2">
        <v>0.2</v>
      </c>
      <c r="P412" s="8">
        <v>0.1</v>
      </c>
      <c r="Q412" s="12">
        <f t="shared" si="49"/>
        <v>-4.7624501633083342E-5</v>
      </c>
      <c r="R412" s="3">
        <f t="shared" si="50"/>
        <v>1.684326699042853E-4</v>
      </c>
      <c r="S412" s="14">
        <f t="shared" si="51"/>
        <v>1.2978161268233852E-2</v>
      </c>
    </row>
    <row r="413" spans="1:19" x14ac:dyDescent="0.35">
      <c r="A413" s="4">
        <v>44036</v>
      </c>
      <c r="B413" s="2">
        <v>22.25</v>
      </c>
      <c r="C413" s="2">
        <v>11.372021999999999</v>
      </c>
      <c r="D413" s="2">
        <v>38.939999</v>
      </c>
      <c r="E413" s="2">
        <v>56.046982</v>
      </c>
      <c r="F413" s="8">
        <v>1201.1099850000001</v>
      </c>
      <c r="G413" s="12">
        <f t="shared" si="52"/>
        <v>-2.7484043147844042E-2</v>
      </c>
      <c r="H413" s="3">
        <f t="shared" si="53"/>
        <v>8.6356510111292289E-3</v>
      </c>
      <c r="I413" s="3">
        <f t="shared" si="54"/>
        <v>3.024213865918729E-2</v>
      </c>
      <c r="J413" s="3">
        <f t="shared" si="55"/>
        <v>1.5520871338033744E-2</v>
      </c>
      <c r="K413" s="14">
        <f t="shared" si="56"/>
        <v>-8.6552354804073084E-4</v>
      </c>
      <c r="L413" s="9">
        <v>0.1</v>
      </c>
      <c r="M413" s="2">
        <v>0.3</v>
      </c>
      <c r="N413" s="2">
        <v>0.3</v>
      </c>
      <c r="O413" s="2">
        <v>0.2</v>
      </c>
      <c r="P413" s="8">
        <v>0.1</v>
      </c>
      <c r="Q413" s="12">
        <f t="shared" si="49"/>
        <v>5.2631687116335466E-5</v>
      </c>
      <c r="R413" s="3">
        <f t="shared" si="50"/>
        <v>1.5948485150974717E-4</v>
      </c>
      <c r="S413" s="14">
        <f t="shared" si="51"/>
        <v>1.2628731191602233E-2</v>
      </c>
    </row>
    <row r="414" spans="1:19" x14ac:dyDescent="0.35">
      <c r="A414" s="4">
        <v>44039</v>
      </c>
      <c r="B414" s="2">
        <v>22.33</v>
      </c>
      <c r="C414" s="2">
        <v>11.460025999999999</v>
      </c>
      <c r="D414" s="2">
        <v>39.209999000000003</v>
      </c>
      <c r="E414" s="2">
        <v>55.878310999999997</v>
      </c>
      <c r="F414" s="8">
        <v>1200.26001</v>
      </c>
      <c r="G414" s="12">
        <f t="shared" si="52"/>
        <v>3.5890572398172621E-3</v>
      </c>
      <c r="H414" s="3">
        <f t="shared" si="53"/>
        <v>7.70885168189335E-3</v>
      </c>
      <c r="I414" s="3">
        <f t="shared" si="54"/>
        <v>6.909816537022901E-3</v>
      </c>
      <c r="J414" s="3">
        <f t="shared" si="55"/>
        <v>-3.0139948382578012E-3</v>
      </c>
      <c r="K414" s="14">
        <f t="shared" si="56"/>
        <v>-7.0790843332419124E-4</v>
      </c>
      <c r="L414" s="9">
        <v>0</v>
      </c>
      <c r="M414" s="2">
        <v>0.4</v>
      </c>
      <c r="N414" s="2">
        <v>0.3</v>
      </c>
      <c r="O414" s="2">
        <v>0.2</v>
      </c>
      <c r="P414" s="8">
        <v>0.1</v>
      </c>
      <c r="Q414" s="12">
        <f t="shared" si="49"/>
        <v>1.5288787586575429E-4</v>
      </c>
      <c r="R414" s="3">
        <f t="shared" si="50"/>
        <v>1.7510501319633958E-4</v>
      </c>
      <c r="S414" s="14">
        <f t="shared" si="51"/>
        <v>1.3232725085799205E-2</v>
      </c>
    </row>
    <row r="415" spans="1:19" x14ac:dyDescent="0.35">
      <c r="A415" s="4">
        <v>44040</v>
      </c>
      <c r="B415" s="2">
        <v>22.4</v>
      </c>
      <c r="C415" s="2">
        <v>11.391577</v>
      </c>
      <c r="D415" s="2">
        <v>44.73</v>
      </c>
      <c r="E415" s="2">
        <v>54.231330999999997</v>
      </c>
      <c r="F415" s="8">
        <v>1198.969971</v>
      </c>
      <c r="G415" s="12">
        <f t="shared" si="52"/>
        <v>3.1298930089275656E-3</v>
      </c>
      <c r="H415" s="3">
        <f t="shared" si="53"/>
        <v>-5.9907573849166673E-3</v>
      </c>
      <c r="I415" s="3">
        <f t="shared" si="54"/>
        <v>0.13171262664421471</v>
      </c>
      <c r="J415" s="3">
        <f t="shared" si="55"/>
        <v>-2.9917504286456235E-2</v>
      </c>
      <c r="K415" s="14">
        <f t="shared" si="56"/>
        <v>-1.0753776291033206E-3</v>
      </c>
      <c r="L415" s="9">
        <v>0.3</v>
      </c>
      <c r="M415" s="2">
        <v>0</v>
      </c>
      <c r="N415" s="2">
        <v>0.4</v>
      </c>
      <c r="O415" s="2">
        <v>0.2</v>
      </c>
      <c r="P415" s="8">
        <v>0.1</v>
      </c>
      <c r="Q415" s="12">
        <f t="shared" si="49"/>
        <v>-1.0338695719993248E-4</v>
      </c>
      <c r="R415" s="3">
        <f t="shared" si="50"/>
        <v>2.2198715313080043E-4</v>
      </c>
      <c r="S415" s="14">
        <f t="shared" si="51"/>
        <v>1.4899233306811475E-2</v>
      </c>
    </row>
    <row r="416" spans="1:19" x14ac:dyDescent="0.35">
      <c r="A416" s="4">
        <v>44041</v>
      </c>
      <c r="B416" s="2">
        <v>22.629999000000002</v>
      </c>
      <c r="C416" s="2">
        <v>11.684923</v>
      </c>
      <c r="D416" s="2">
        <v>42.130001</v>
      </c>
      <c r="E416" s="2">
        <v>53.973370000000003</v>
      </c>
      <c r="F416" s="8">
        <v>1194.9799800000001</v>
      </c>
      <c r="G416" s="12">
        <f t="shared" si="52"/>
        <v>1.0215456595321581E-2</v>
      </c>
      <c r="H416" s="3">
        <f t="shared" si="53"/>
        <v>2.5425155664254885E-2</v>
      </c>
      <c r="I416" s="3">
        <f t="shared" si="54"/>
        <v>-5.988431771777674E-2</v>
      </c>
      <c r="J416" s="3">
        <f t="shared" si="55"/>
        <v>-4.7680273837410409E-3</v>
      </c>
      <c r="K416" s="14">
        <f t="shared" si="56"/>
        <v>-3.3333985891503331E-3</v>
      </c>
      <c r="L416" s="9">
        <v>0.2</v>
      </c>
      <c r="M416" s="2">
        <v>0.1</v>
      </c>
      <c r="N416" s="2">
        <v>0.4</v>
      </c>
      <c r="O416" s="2">
        <v>0.2</v>
      </c>
      <c r="P416" s="8">
        <v>0.1</v>
      </c>
      <c r="Q416" s="12">
        <f t="shared" si="49"/>
        <v>-3.1307684505137037E-6</v>
      </c>
      <c r="R416" s="3">
        <f t="shared" si="50"/>
        <v>1.8417766269794095E-4</v>
      </c>
      <c r="S416" s="14">
        <f t="shared" si="51"/>
        <v>1.3571207120147455E-2</v>
      </c>
    </row>
    <row r="417" spans="1:19" x14ac:dyDescent="0.35">
      <c r="A417" s="4">
        <v>44042</v>
      </c>
      <c r="B417" s="2">
        <v>22.280000999999999</v>
      </c>
      <c r="C417" s="2">
        <v>11.675144</v>
      </c>
      <c r="D417" s="2">
        <v>40.93</v>
      </c>
      <c r="E417" s="2">
        <v>52.39584</v>
      </c>
      <c r="F417" s="8">
        <v>1193.369995</v>
      </c>
      <c r="G417" s="12">
        <f t="shared" si="52"/>
        <v>-1.5586955513930046E-2</v>
      </c>
      <c r="H417" s="3">
        <f t="shared" si="53"/>
        <v>-8.3724079825922321E-4</v>
      </c>
      <c r="I417" s="3">
        <f t="shared" si="54"/>
        <v>-2.8896809222668365E-2</v>
      </c>
      <c r="J417" s="3">
        <f t="shared" si="55"/>
        <v>-2.9663577916065331E-2</v>
      </c>
      <c r="K417" s="14">
        <f t="shared" si="56"/>
        <v>-1.3481987654379989E-3</v>
      </c>
      <c r="L417" s="9">
        <v>0.1</v>
      </c>
      <c r="M417" s="2">
        <v>0.2</v>
      </c>
      <c r="N417" s="2">
        <v>0.4</v>
      </c>
      <c r="O417" s="2">
        <v>0.2</v>
      </c>
      <c r="P417" s="8">
        <v>0.1</v>
      </c>
      <c r="Q417" s="12">
        <f t="shared" si="49"/>
        <v>9.7125420298905125E-5</v>
      </c>
      <c r="R417" s="3">
        <f t="shared" si="50"/>
        <v>1.7093615234621196E-4</v>
      </c>
      <c r="S417" s="14">
        <f t="shared" si="51"/>
        <v>1.3074255326641436E-2</v>
      </c>
    </row>
    <row r="418" spans="1:19" x14ac:dyDescent="0.35">
      <c r="A418" s="4">
        <v>44043</v>
      </c>
      <c r="B418" s="2">
        <v>21.66</v>
      </c>
      <c r="C418" s="2">
        <v>11.792484</v>
      </c>
      <c r="D418" s="2">
        <v>40.090000000000003</v>
      </c>
      <c r="E418" s="2">
        <v>51.820385000000002</v>
      </c>
      <c r="F418" s="8">
        <v>1191.780029</v>
      </c>
      <c r="G418" s="12">
        <f t="shared" si="52"/>
        <v>-2.8222218369541037E-2</v>
      </c>
      <c r="H418" s="3">
        <f t="shared" si="53"/>
        <v>1.0000241854779905E-2</v>
      </c>
      <c r="I418" s="3">
        <f t="shared" si="54"/>
        <v>-2.0736363849895911E-2</v>
      </c>
      <c r="J418" s="3">
        <f t="shared" si="55"/>
        <v>-1.1043594192281238E-2</v>
      </c>
      <c r="K418" s="14">
        <f t="shared" si="56"/>
        <v>-1.3332211554931827E-3</v>
      </c>
      <c r="L418" s="9">
        <v>0</v>
      </c>
      <c r="M418" s="2">
        <v>0.3</v>
      </c>
      <c r="N418" s="2">
        <v>0.4</v>
      </c>
      <c r="O418" s="2">
        <v>0.2</v>
      </c>
      <c r="P418" s="8">
        <v>0.1</v>
      </c>
      <c r="Q418" s="12">
        <f t="shared" si="49"/>
        <v>1.9738160904832393E-4</v>
      </c>
      <c r="R418" s="3">
        <f t="shared" si="50"/>
        <v>1.8226262207561342E-4</v>
      </c>
      <c r="S418" s="14">
        <f t="shared" si="51"/>
        <v>1.3500467476188127E-2</v>
      </c>
    </row>
    <row r="419" spans="1:19" x14ac:dyDescent="0.35">
      <c r="A419" s="4">
        <v>44046</v>
      </c>
      <c r="B419" s="2">
        <v>20.809999000000001</v>
      </c>
      <c r="C419" s="2">
        <v>11.929378</v>
      </c>
      <c r="D419" s="2">
        <v>41.290000999999997</v>
      </c>
      <c r="E419" s="2">
        <v>53.487212999999997</v>
      </c>
      <c r="F419" s="8">
        <v>1194.0600589999999</v>
      </c>
      <c r="G419" s="12">
        <f t="shared" si="52"/>
        <v>-4.0033649221122895E-2</v>
      </c>
      <c r="H419" s="3">
        <f t="shared" si="53"/>
        <v>1.1541717901266712E-2</v>
      </c>
      <c r="I419" s="3">
        <f t="shared" si="54"/>
        <v>2.9493437462521949E-2</v>
      </c>
      <c r="J419" s="3">
        <f t="shared" si="55"/>
        <v>3.1659011318640906E-2</v>
      </c>
      <c r="K419" s="14">
        <f t="shared" si="56"/>
        <v>1.9113021912585243E-3</v>
      </c>
      <c r="L419" s="9">
        <v>0.2</v>
      </c>
      <c r="M419" s="2">
        <v>0</v>
      </c>
      <c r="N419" s="2">
        <v>0.5</v>
      </c>
      <c r="O419" s="2">
        <v>0.2</v>
      </c>
      <c r="P419" s="8">
        <v>0.1</v>
      </c>
      <c r="Q419" s="12">
        <f t="shared" si="49"/>
        <v>4.1362964732055901E-5</v>
      </c>
      <c r="R419" s="3">
        <f t="shared" si="50"/>
        <v>2.1412118946153739E-4</v>
      </c>
      <c r="S419" s="14">
        <f t="shared" si="51"/>
        <v>1.4632880422580423E-2</v>
      </c>
    </row>
    <row r="420" spans="1:19" x14ac:dyDescent="0.35">
      <c r="A420" s="4">
        <v>44047</v>
      </c>
      <c r="B420" s="2">
        <v>20.41</v>
      </c>
      <c r="C420" s="2">
        <v>12.02716</v>
      </c>
      <c r="D420" s="2">
        <v>41.130001</v>
      </c>
      <c r="E420" s="2">
        <v>54.003135999999998</v>
      </c>
      <c r="F420" s="8">
        <v>1192.9300539999999</v>
      </c>
      <c r="G420" s="12">
        <f t="shared" si="52"/>
        <v>-1.9408615529968275E-2</v>
      </c>
      <c r="H420" s="3">
        <f t="shared" si="53"/>
        <v>8.1633283586189376E-3</v>
      </c>
      <c r="I420" s="3">
        <f t="shared" si="54"/>
        <v>-3.8825575614518798E-3</v>
      </c>
      <c r="J420" s="3">
        <f t="shared" si="55"/>
        <v>9.5995029632340249E-3</v>
      </c>
      <c r="K420" s="14">
        <f t="shared" si="56"/>
        <v>-9.4680332210898984E-4</v>
      </c>
      <c r="L420" s="9">
        <v>0.1</v>
      </c>
      <c r="M420" s="2">
        <v>0.1</v>
      </c>
      <c r="N420" s="2">
        <v>0.5</v>
      </c>
      <c r="O420" s="2">
        <v>0.2</v>
      </c>
      <c r="P420" s="8">
        <v>0.1</v>
      </c>
      <c r="Q420" s="12">
        <f t="shared" si="49"/>
        <v>1.4161915348147471E-4</v>
      </c>
      <c r="R420" s="3">
        <f t="shared" si="50"/>
        <v>1.965859871526175E-4</v>
      </c>
      <c r="S420" s="14">
        <f t="shared" si="51"/>
        <v>1.4020912493579635E-2</v>
      </c>
    </row>
    <row r="421" spans="1:19" x14ac:dyDescent="0.35">
      <c r="A421" s="4">
        <v>44048</v>
      </c>
      <c r="B421" s="2">
        <v>20.959999</v>
      </c>
      <c r="C421" s="2">
        <v>12.212944</v>
      </c>
      <c r="D421" s="2">
        <v>41.73</v>
      </c>
      <c r="E421" s="2">
        <v>54.538898000000003</v>
      </c>
      <c r="F421" s="8">
        <v>1192.209961</v>
      </c>
      <c r="G421" s="12">
        <f t="shared" si="52"/>
        <v>2.6590834921163223E-2</v>
      </c>
      <c r="H421" s="3">
        <f t="shared" si="53"/>
        <v>1.5328947259784729E-2</v>
      </c>
      <c r="I421" s="3">
        <f t="shared" si="54"/>
        <v>1.4482488047975356E-2</v>
      </c>
      <c r="J421" s="3">
        <f t="shared" si="55"/>
        <v>9.8720529073281927E-3</v>
      </c>
      <c r="K421" s="14">
        <f t="shared" si="56"/>
        <v>-6.0381614274191342E-4</v>
      </c>
      <c r="L421" s="9">
        <v>0</v>
      </c>
      <c r="M421" s="2">
        <v>0.2</v>
      </c>
      <c r="N421" s="2">
        <v>0.5</v>
      </c>
      <c r="O421" s="2">
        <v>0.2</v>
      </c>
      <c r="P421" s="8">
        <v>0.1</v>
      </c>
      <c r="Q421" s="12">
        <f t="shared" si="49"/>
        <v>2.4187534223089354E-4</v>
      </c>
      <c r="R421" s="3">
        <f t="shared" si="50"/>
        <v>2.036187649248281E-4</v>
      </c>
      <c r="S421" s="14">
        <f t="shared" si="51"/>
        <v>1.426950471897424E-2</v>
      </c>
    </row>
    <row r="422" spans="1:19" x14ac:dyDescent="0.35">
      <c r="A422" s="4">
        <v>44049</v>
      </c>
      <c r="B422" s="2">
        <v>20.379999000000002</v>
      </c>
      <c r="C422" s="2">
        <v>12.545403</v>
      </c>
      <c r="D422" s="2">
        <v>40.709999000000003</v>
      </c>
      <c r="E422" s="2">
        <v>53.606270000000002</v>
      </c>
      <c r="F422" s="8">
        <v>1191.26001</v>
      </c>
      <c r="G422" s="12">
        <f t="shared" si="52"/>
        <v>-2.8061833016052386E-2</v>
      </c>
      <c r="H422" s="3">
        <f t="shared" si="53"/>
        <v>2.6857930754284793E-2</v>
      </c>
      <c r="I422" s="3">
        <f t="shared" si="54"/>
        <v>-2.4746556652563156E-2</v>
      </c>
      <c r="J422" s="3">
        <f t="shared" si="55"/>
        <v>-1.724813301209363E-2</v>
      </c>
      <c r="K422" s="14">
        <f t="shared" si="56"/>
        <v>-7.9711602147934213E-4</v>
      </c>
      <c r="L422" s="9">
        <v>0.1</v>
      </c>
      <c r="M422" s="2">
        <v>0</v>
      </c>
      <c r="N422" s="2">
        <v>0.6</v>
      </c>
      <c r="O422" s="2">
        <v>0.2</v>
      </c>
      <c r="P422" s="8">
        <v>0.1</v>
      </c>
      <c r="Q422" s="12">
        <f t="shared" si="49"/>
        <v>1.8611288666404432E-4</v>
      </c>
      <c r="R422" s="3">
        <f t="shared" si="50"/>
        <v>2.3643435592896387E-4</v>
      </c>
      <c r="S422" s="14">
        <f t="shared" si="51"/>
        <v>1.5376422078265277E-2</v>
      </c>
    </row>
    <row r="423" spans="1:19" x14ac:dyDescent="0.35">
      <c r="A423" s="4">
        <v>44050</v>
      </c>
      <c r="B423" s="2">
        <v>20.23</v>
      </c>
      <c r="C423" s="2">
        <v>13.083202</v>
      </c>
      <c r="D423" s="2">
        <v>40.040000999999997</v>
      </c>
      <c r="E423" s="2">
        <v>55.154037000000002</v>
      </c>
      <c r="F423" s="8">
        <v>1192.900024</v>
      </c>
      <c r="G423" s="12">
        <f t="shared" si="52"/>
        <v>-7.3873275472101018E-3</v>
      </c>
      <c r="H423" s="3">
        <f t="shared" si="53"/>
        <v>4.1974813638622738E-2</v>
      </c>
      <c r="I423" s="3">
        <f t="shared" si="54"/>
        <v>-1.6594758528853601E-2</v>
      </c>
      <c r="J423" s="3">
        <f t="shared" si="55"/>
        <v>2.8463904535793672E-2</v>
      </c>
      <c r="K423" s="14">
        <f t="shared" si="56"/>
        <v>1.3757585357399486E-3</v>
      </c>
      <c r="L423" s="9">
        <v>0</v>
      </c>
      <c r="M423" s="2">
        <v>0.1</v>
      </c>
      <c r="N423" s="2">
        <v>0.6</v>
      </c>
      <c r="O423" s="2">
        <v>0.2</v>
      </c>
      <c r="P423" s="8">
        <v>0.1</v>
      </c>
      <c r="Q423" s="12">
        <f t="shared" si="49"/>
        <v>2.8636907541346315E-4</v>
      </c>
      <c r="R423" s="3">
        <f t="shared" si="50"/>
        <v>2.3917344174398359E-4</v>
      </c>
      <c r="S423" s="14">
        <f t="shared" si="51"/>
        <v>1.5465233323295953E-2</v>
      </c>
    </row>
    <row r="424" spans="1:19" x14ac:dyDescent="0.35">
      <c r="A424" s="4">
        <v>44053</v>
      </c>
      <c r="B424" s="2">
        <v>19.870000999999998</v>
      </c>
      <c r="C424" s="2">
        <v>13.141870000000001</v>
      </c>
      <c r="D424" s="2">
        <v>41.549999</v>
      </c>
      <c r="E424" s="2">
        <v>55.689804000000002</v>
      </c>
      <c r="F424" s="8">
        <v>1190.1899410000001</v>
      </c>
      <c r="G424" s="12">
        <f t="shared" si="52"/>
        <v>-1.795554428880361E-2</v>
      </c>
      <c r="H424" s="3">
        <f t="shared" si="53"/>
        <v>4.4741991839116696E-3</v>
      </c>
      <c r="I424" s="3">
        <f t="shared" si="54"/>
        <v>3.7018517812023741E-2</v>
      </c>
      <c r="J424" s="3">
        <f t="shared" si="55"/>
        <v>9.6671347293894178E-3</v>
      </c>
      <c r="K424" s="14">
        <f t="shared" si="56"/>
        <v>-2.2744287526530022E-3</v>
      </c>
      <c r="L424" s="9">
        <v>0</v>
      </c>
      <c r="M424" s="2">
        <v>0</v>
      </c>
      <c r="N424" s="2">
        <v>0.7</v>
      </c>
      <c r="O424" s="2">
        <v>0.2</v>
      </c>
      <c r="P424" s="8">
        <v>0.1</v>
      </c>
      <c r="Q424" s="12">
        <f t="shared" si="49"/>
        <v>3.3086280859603276E-4</v>
      </c>
      <c r="R424" s="3">
        <f t="shared" si="50"/>
        <v>2.8892665253307982E-4</v>
      </c>
      <c r="S424" s="14">
        <f t="shared" si="51"/>
        <v>1.699784258466585E-2</v>
      </c>
    </row>
    <row r="425" spans="1:19" x14ac:dyDescent="0.35">
      <c r="A425" s="4">
        <v>44054</v>
      </c>
      <c r="B425" s="2">
        <v>21.059999000000001</v>
      </c>
      <c r="C425" s="2">
        <v>13.699228</v>
      </c>
      <c r="D425" s="2">
        <v>41.619999</v>
      </c>
      <c r="E425" s="2">
        <v>56.076743999999998</v>
      </c>
      <c r="F425" s="8">
        <v>1190.339966</v>
      </c>
      <c r="G425" s="12">
        <f t="shared" si="52"/>
        <v>5.8164352331597155E-2</v>
      </c>
      <c r="H425" s="3">
        <f t="shared" si="53"/>
        <v>4.1536164404098734E-2</v>
      </c>
      <c r="I425" s="3">
        <f t="shared" si="54"/>
        <v>1.6832997045098225E-3</v>
      </c>
      <c r="J425" s="3">
        <f t="shared" si="55"/>
        <v>6.9241030138522544E-3</v>
      </c>
      <c r="K425" s="14">
        <f t="shared" si="56"/>
        <v>1.260433651830963E-4</v>
      </c>
      <c r="L425" s="9">
        <v>0.6</v>
      </c>
      <c r="M425" s="2">
        <v>0</v>
      </c>
      <c r="N425" s="2">
        <v>0</v>
      </c>
      <c r="O425" s="2">
        <v>0.3</v>
      </c>
      <c r="P425" s="8">
        <v>0.1</v>
      </c>
      <c r="Q425" s="12">
        <f t="shared" si="49"/>
        <v>-5.3983485106395498E-4</v>
      </c>
      <c r="R425" s="3">
        <f t="shared" si="50"/>
        <v>4.3503492512592443E-4</v>
      </c>
      <c r="S425" s="14">
        <f t="shared" si="51"/>
        <v>2.0857490863618385E-2</v>
      </c>
    </row>
    <row r="426" spans="1:19" x14ac:dyDescent="0.35">
      <c r="A426" s="4">
        <v>44055</v>
      </c>
      <c r="B426" s="2">
        <v>21.02</v>
      </c>
      <c r="C426" s="2">
        <v>13.621003</v>
      </c>
      <c r="D426" s="2">
        <v>41.299999</v>
      </c>
      <c r="E426" s="2">
        <v>55.868392999999998</v>
      </c>
      <c r="F426" s="8">
        <v>1190.869995</v>
      </c>
      <c r="G426" s="12">
        <f t="shared" si="52"/>
        <v>-1.9010937736425385E-3</v>
      </c>
      <c r="H426" s="3">
        <f t="shared" si="53"/>
        <v>-5.7265411680476929E-3</v>
      </c>
      <c r="I426" s="3">
        <f t="shared" si="54"/>
        <v>-7.7183211846662296E-3</v>
      </c>
      <c r="J426" s="3">
        <f t="shared" si="55"/>
        <v>-3.722381269282322E-3</v>
      </c>
      <c r="K426" s="14">
        <f t="shared" si="56"/>
        <v>4.4517620657943729E-4</v>
      </c>
      <c r="L426" s="9">
        <v>0.5</v>
      </c>
      <c r="M426" s="2">
        <v>0.1</v>
      </c>
      <c r="N426" s="2">
        <v>0</v>
      </c>
      <c r="O426" s="2">
        <v>0.3</v>
      </c>
      <c r="P426" s="8">
        <v>0.1</v>
      </c>
      <c r="Q426" s="12">
        <f t="shared" si="49"/>
        <v>-4.3957866231453626E-4</v>
      </c>
      <c r="R426" s="3">
        <f t="shared" si="50"/>
        <v>3.3506407621479927E-4</v>
      </c>
      <c r="S426" s="14">
        <f t="shared" si="51"/>
        <v>1.8304755562825722E-2</v>
      </c>
    </row>
    <row r="427" spans="1:19" x14ac:dyDescent="0.35">
      <c r="A427" s="4">
        <v>44056</v>
      </c>
      <c r="B427" s="2">
        <v>21.110001</v>
      </c>
      <c r="C427" s="2">
        <v>13.58189</v>
      </c>
      <c r="D427" s="2">
        <v>41.299999</v>
      </c>
      <c r="E427" s="2">
        <v>55.987450000000003</v>
      </c>
      <c r="F427" s="8">
        <v>1191.5</v>
      </c>
      <c r="G427" s="12">
        <f t="shared" si="52"/>
        <v>4.2725437823374554E-3</v>
      </c>
      <c r="H427" s="3">
        <f t="shared" si="53"/>
        <v>-2.8756520090222385E-3</v>
      </c>
      <c r="I427" s="3">
        <f t="shared" si="54"/>
        <v>0</v>
      </c>
      <c r="J427" s="3">
        <f t="shared" si="55"/>
        <v>2.1287586194316767E-3</v>
      </c>
      <c r="K427" s="14">
        <f t="shared" si="56"/>
        <v>5.2888931274971225E-4</v>
      </c>
      <c r="L427" s="9">
        <v>0.4</v>
      </c>
      <c r="M427" s="2">
        <v>0.2</v>
      </c>
      <c r="N427" s="2">
        <v>0</v>
      </c>
      <c r="O427" s="2">
        <v>0.3</v>
      </c>
      <c r="P427" s="8">
        <v>0.1</v>
      </c>
      <c r="Q427" s="12">
        <f t="shared" si="49"/>
        <v>-3.3932247356511743E-4</v>
      </c>
      <c r="R427" s="3">
        <f t="shared" si="50"/>
        <v>2.5966120738480454E-4</v>
      </c>
      <c r="S427" s="14">
        <f t="shared" si="51"/>
        <v>1.6114006559040633E-2</v>
      </c>
    </row>
    <row r="428" spans="1:19" x14ac:dyDescent="0.35">
      <c r="A428" s="4">
        <v>44057</v>
      </c>
      <c r="B428" s="2">
        <v>21.129999000000002</v>
      </c>
      <c r="C428" s="2">
        <v>13.415661</v>
      </c>
      <c r="D428" s="2">
        <v>41.450001</v>
      </c>
      <c r="E428" s="2">
        <v>56.662117000000002</v>
      </c>
      <c r="F428" s="8">
        <v>1188.6899410000001</v>
      </c>
      <c r="G428" s="12">
        <f t="shared" si="52"/>
        <v>9.4687507074529115E-4</v>
      </c>
      <c r="H428" s="3">
        <f t="shared" si="53"/>
        <v>-1.2314531838961215E-2</v>
      </c>
      <c r="I428" s="3">
        <f t="shared" si="54"/>
        <v>3.6254299528443038E-3</v>
      </c>
      <c r="J428" s="3">
        <f t="shared" si="55"/>
        <v>1.197829844705128E-2</v>
      </c>
      <c r="K428" s="14">
        <f t="shared" si="56"/>
        <v>-2.3612067736034589E-3</v>
      </c>
      <c r="L428" s="9">
        <v>0.3</v>
      </c>
      <c r="M428" s="2">
        <v>0.3</v>
      </c>
      <c r="N428" s="2">
        <v>0</v>
      </c>
      <c r="O428" s="2">
        <v>0.3</v>
      </c>
      <c r="P428" s="8">
        <v>0.1</v>
      </c>
      <c r="Q428" s="12">
        <f t="shared" si="49"/>
        <v>-2.390662848156986E-4</v>
      </c>
      <c r="R428" s="3">
        <f t="shared" si="50"/>
        <v>2.0882631863594026E-4</v>
      </c>
      <c r="S428" s="14">
        <f t="shared" si="51"/>
        <v>1.4450824150751412E-2</v>
      </c>
    </row>
    <row r="429" spans="1:19" x14ac:dyDescent="0.35">
      <c r="A429" s="4">
        <v>44060</v>
      </c>
      <c r="B429" s="2">
        <v>21.49</v>
      </c>
      <c r="C429" s="2">
        <v>13.468863000000001</v>
      </c>
      <c r="D429" s="2">
        <v>43.59</v>
      </c>
      <c r="E429" s="2">
        <v>57.227646</v>
      </c>
      <c r="F429" s="8">
        <v>1190.380005</v>
      </c>
      <c r="G429" s="12">
        <f t="shared" si="52"/>
        <v>1.6893926352531438E-2</v>
      </c>
      <c r="H429" s="3">
        <f t="shared" si="53"/>
        <v>3.9578211946673658E-3</v>
      </c>
      <c r="I429" s="3">
        <f t="shared" si="54"/>
        <v>5.0339860543545223E-2</v>
      </c>
      <c r="J429" s="3">
        <f t="shared" si="55"/>
        <v>9.9312463781874791E-3</v>
      </c>
      <c r="K429" s="14">
        <f t="shared" si="56"/>
        <v>1.4207772975648844E-3</v>
      </c>
      <c r="L429" s="9">
        <v>0.2</v>
      </c>
      <c r="M429" s="2">
        <v>0.4</v>
      </c>
      <c r="N429" s="2">
        <v>0</v>
      </c>
      <c r="O429" s="2">
        <v>0.3</v>
      </c>
      <c r="P429" s="8">
        <v>0.1</v>
      </c>
      <c r="Q429" s="12">
        <f t="shared" si="49"/>
        <v>-1.3881009606627978E-4</v>
      </c>
      <c r="R429" s="3">
        <f t="shared" si="50"/>
        <v>1.8255940996820652E-4</v>
      </c>
      <c r="S429" s="14">
        <f t="shared" si="51"/>
        <v>1.3511454768758488E-2</v>
      </c>
    </row>
    <row r="430" spans="1:19" x14ac:dyDescent="0.35">
      <c r="A430" s="4">
        <v>44061</v>
      </c>
      <c r="B430" s="2">
        <v>22.18</v>
      </c>
      <c r="C430" s="2">
        <v>13.874313000000001</v>
      </c>
      <c r="D430" s="2">
        <v>44.830002</v>
      </c>
      <c r="E430" s="2">
        <v>57.445923000000001</v>
      </c>
      <c r="F430" s="8">
        <v>1192.329956</v>
      </c>
      <c r="G430" s="12">
        <f t="shared" si="52"/>
        <v>3.1603271267801991E-2</v>
      </c>
      <c r="H430" s="3">
        <f t="shared" si="53"/>
        <v>2.9658567833139728E-2</v>
      </c>
      <c r="I430" s="3">
        <f t="shared" si="54"/>
        <v>2.8049836530028245E-2</v>
      </c>
      <c r="J430" s="3">
        <f t="shared" si="55"/>
        <v>3.8069324173412443E-3</v>
      </c>
      <c r="K430" s="14">
        <f t="shared" si="56"/>
        <v>1.63675098290235E-3</v>
      </c>
      <c r="L430" s="9">
        <v>0.1</v>
      </c>
      <c r="M430" s="2">
        <v>0.5</v>
      </c>
      <c r="N430" s="2">
        <v>0</v>
      </c>
      <c r="O430" s="2">
        <v>0.3</v>
      </c>
      <c r="P430" s="8">
        <v>0.1</v>
      </c>
      <c r="Q430" s="12">
        <f t="shared" si="49"/>
        <v>-3.8553907316860988E-5</v>
      </c>
      <c r="R430" s="3">
        <f t="shared" si="50"/>
        <v>1.8086048138160323E-4</v>
      </c>
      <c r="S430" s="14">
        <f t="shared" si="51"/>
        <v>1.3448437878861739E-2</v>
      </c>
    </row>
    <row r="431" spans="1:19" x14ac:dyDescent="0.35">
      <c r="A431" s="4">
        <v>44062</v>
      </c>
      <c r="B431" s="2">
        <v>22.76</v>
      </c>
      <c r="C431" s="2">
        <v>13.943538</v>
      </c>
      <c r="D431" s="2">
        <v>44.860000999999997</v>
      </c>
      <c r="E431" s="2">
        <v>56.969684999999998</v>
      </c>
      <c r="F431" s="8">
        <v>1193.25</v>
      </c>
      <c r="G431" s="12">
        <f t="shared" si="52"/>
        <v>2.5813627335909313E-2</v>
      </c>
      <c r="H431" s="3">
        <f t="shared" si="53"/>
        <v>4.9770302455546343E-3</v>
      </c>
      <c r="I431" s="3">
        <f t="shared" si="54"/>
        <v>6.6894860330624193E-4</v>
      </c>
      <c r="J431" s="3">
        <f t="shared" si="55"/>
        <v>-8.3247514680040904E-3</v>
      </c>
      <c r="K431" s="14">
        <f t="shared" si="56"/>
        <v>7.7133784034509438E-4</v>
      </c>
      <c r="L431" s="9">
        <v>0</v>
      </c>
      <c r="M431" s="2">
        <v>0.6</v>
      </c>
      <c r="N431" s="2">
        <v>0</v>
      </c>
      <c r="O431" s="2">
        <v>0.3</v>
      </c>
      <c r="P431" s="8">
        <v>0.1</v>
      </c>
      <c r="Q431" s="12">
        <f t="shared" si="49"/>
        <v>6.1702281432557841E-5</v>
      </c>
      <c r="R431" s="3">
        <f t="shared" si="50"/>
        <v>2.0372953287613042E-4</v>
      </c>
      <c r="S431" s="14">
        <f t="shared" si="51"/>
        <v>1.4273385473535367E-2</v>
      </c>
    </row>
    <row r="432" spans="1:19" x14ac:dyDescent="0.35">
      <c r="A432" s="4">
        <v>44063</v>
      </c>
      <c r="B432" s="2">
        <v>22.34</v>
      </c>
      <c r="C432" s="2">
        <v>13.81498</v>
      </c>
      <c r="D432" s="2">
        <v>43.650002000000001</v>
      </c>
      <c r="E432" s="2">
        <v>57.068900999999997</v>
      </c>
      <c r="F432" s="8">
        <v>1190.5200199999999</v>
      </c>
      <c r="G432" s="12">
        <f t="shared" si="52"/>
        <v>-1.8625815617075554E-2</v>
      </c>
      <c r="H432" s="3">
        <f t="shared" si="53"/>
        <v>-9.2626644661464291E-3</v>
      </c>
      <c r="I432" s="3">
        <f t="shared" si="54"/>
        <v>-2.7343223279010648E-2</v>
      </c>
      <c r="J432" s="3">
        <f t="shared" si="55"/>
        <v>1.7400430593454198E-3</v>
      </c>
      <c r="K432" s="14">
        <f t="shared" si="56"/>
        <v>-2.2904736368129018E-3</v>
      </c>
      <c r="L432" s="9">
        <v>0.5</v>
      </c>
      <c r="M432" s="2">
        <v>0</v>
      </c>
      <c r="N432" s="2">
        <v>0.1</v>
      </c>
      <c r="O432" s="2">
        <v>0.3</v>
      </c>
      <c r="P432" s="8">
        <v>0.1</v>
      </c>
      <c r="Q432" s="12">
        <f t="shared" si="49"/>
        <v>-3.9508492913196665E-4</v>
      </c>
      <c r="R432" s="3">
        <f t="shared" si="50"/>
        <v>3.2757603755450209E-4</v>
      </c>
      <c r="S432" s="14">
        <f t="shared" si="51"/>
        <v>1.8099061786581702E-2</v>
      </c>
    </row>
    <row r="433" spans="1:19" x14ac:dyDescent="0.35">
      <c r="A433" s="4">
        <v>44064</v>
      </c>
      <c r="B433" s="2">
        <v>21.76</v>
      </c>
      <c r="C433" s="2">
        <v>13.824868</v>
      </c>
      <c r="D433" s="2">
        <v>42.959999000000003</v>
      </c>
      <c r="E433" s="2">
        <v>56.314857000000003</v>
      </c>
      <c r="F433" s="8">
        <v>1190.099976</v>
      </c>
      <c r="G433" s="12">
        <f t="shared" si="52"/>
        <v>-2.6305371653312735E-2</v>
      </c>
      <c r="H433" s="3">
        <f t="shared" si="53"/>
        <v>7.154887698243022E-4</v>
      </c>
      <c r="I433" s="3">
        <f t="shared" si="54"/>
        <v>-1.5933901181483398E-2</v>
      </c>
      <c r="J433" s="3">
        <f t="shared" si="55"/>
        <v>-1.3300937101953004E-2</v>
      </c>
      <c r="K433" s="14">
        <f t="shared" si="56"/>
        <v>-3.5288622717169536E-4</v>
      </c>
      <c r="L433" s="9">
        <v>0.4</v>
      </c>
      <c r="M433" s="2">
        <v>0.1</v>
      </c>
      <c r="N433" s="2">
        <v>0.1</v>
      </c>
      <c r="O433" s="2">
        <v>0.3</v>
      </c>
      <c r="P433" s="8">
        <v>0.1</v>
      </c>
      <c r="Q433" s="12">
        <f t="shared" si="49"/>
        <v>-2.9482874038254777E-4</v>
      </c>
      <c r="R433" s="3">
        <f t="shared" si="50"/>
        <v>2.4787947676731649E-4</v>
      </c>
      <c r="S433" s="14">
        <f t="shared" si="51"/>
        <v>1.5744188666530788E-2</v>
      </c>
    </row>
    <row r="434" spans="1:19" x14ac:dyDescent="0.35">
      <c r="A434" s="4">
        <v>44067</v>
      </c>
      <c r="B434" s="2">
        <v>21.84</v>
      </c>
      <c r="C434" s="2">
        <v>13.597421000000001</v>
      </c>
      <c r="D434" s="2">
        <v>42.060001</v>
      </c>
      <c r="E434" s="2">
        <v>56.622428999999997</v>
      </c>
      <c r="F434" s="8">
        <v>1188.4300539999999</v>
      </c>
      <c r="G434" s="12">
        <f t="shared" si="52"/>
        <v>3.6697288889624017E-3</v>
      </c>
      <c r="H434" s="3">
        <f t="shared" si="53"/>
        <v>-1.6588857035805749E-2</v>
      </c>
      <c r="I434" s="3">
        <f t="shared" si="54"/>
        <v>-2.1172232873029495E-2</v>
      </c>
      <c r="J434" s="3">
        <f t="shared" si="55"/>
        <v>5.4467885903944436E-3</v>
      </c>
      <c r="K434" s="14">
        <f t="shared" si="56"/>
        <v>-1.404163288515275E-3</v>
      </c>
      <c r="L434" s="9">
        <v>0.3</v>
      </c>
      <c r="M434" s="2">
        <v>0.2</v>
      </c>
      <c r="N434" s="2">
        <v>0.1</v>
      </c>
      <c r="O434" s="2">
        <v>0.3</v>
      </c>
      <c r="P434" s="8">
        <v>0.1</v>
      </c>
      <c r="Q434" s="12">
        <f t="shared" si="49"/>
        <v>-1.9457255163312894E-4</v>
      </c>
      <c r="R434" s="3">
        <f t="shared" si="50"/>
        <v>1.9275089606126132E-4</v>
      </c>
      <c r="S434" s="14">
        <f t="shared" si="51"/>
        <v>1.388347564773538E-2</v>
      </c>
    </row>
    <row r="435" spans="1:19" x14ac:dyDescent="0.35">
      <c r="A435" s="4">
        <v>44068</v>
      </c>
      <c r="B435" s="2">
        <v>21.99</v>
      </c>
      <c r="C435" s="2">
        <v>13.587531999999999</v>
      </c>
      <c r="D435" s="2">
        <v>43.799999</v>
      </c>
      <c r="E435" s="2">
        <v>56.285094999999998</v>
      </c>
      <c r="F435" s="8">
        <v>1221.780029</v>
      </c>
      <c r="G435" s="12">
        <f t="shared" si="52"/>
        <v>6.8446536899654988E-3</v>
      </c>
      <c r="H435" s="3">
        <f t="shared" si="53"/>
        <v>-7.2753485622685553E-4</v>
      </c>
      <c r="I435" s="3">
        <f t="shared" si="54"/>
        <v>4.0536600501237752E-2</v>
      </c>
      <c r="J435" s="3">
        <f t="shared" si="55"/>
        <v>-5.9754211548754405E-3</v>
      </c>
      <c r="K435" s="14">
        <f t="shared" si="56"/>
        <v>2.7675681792832991E-2</v>
      </c>
      <c r="L435" s="9">
        <v>0.2</v>
      </c>
      <c r="M435" s="2">
        <v>0.3</v>
      </c>
      <c r="N435" s="2">
        <v>0.1</v>
      </c>
      <c r="O435" s="2">
        <v>0.3</v>
      </c>
      <c r="P435" s="8">
        <v>0.1</v>
      </c>
      <c r="Q435" s="12">
        <f t="shared" si="49"/>
        <v>-9.4316362883710165E-5</v>
      </c>
      <c r="R435" s="3">
        <f t="shared" si="50"/>
        <v>1.6219029543633665E-4</v>
      </c>
      <c r="S435" s="14">
        <f t="shared" si="51"/>
        <v>1.2735395378092377E-2</v>
      </c>
    </row>
    <row r="436" spans="1:19" x14ac:dyDescent="0.35">
      <c r="A436" s="4">
        <v>44069</v>
      </c>
      <c r="B436" s="2">
        <v>22.34</v>
      </c>
      <c r="C436" s="2">
        <v>13.775423999999999</v>
      </c>
      <c r="D436" s="2">
        <v>43.07</v>
      </c>
      <c r="E436" s="2">
        <v>55.124271</v>
      </c>
      <c r="F436" s="8">
        <v>1199</v>
      </c>
      <c r="G436" s="12">
        <f t="shared" si="52"/>
        <v>1.5790989074384965E-2</v>
      </c>
      <c r="H436" s="3">
        <f t="shared" si="53"/>
        <v>1.3733527414195167E-2</v>
      </c>
      <c r="I436" s="3">
        <f t="shared" si="54"/>
        <v>-1.6807095485330711E-2</v>
      </c>
      <c r="J436" s="3">
        <f t="shared" si="55"/>
        <v>-2.083964845425125E-2</v>
      </c>
      <c r="K436" s="14">
        <f t="shared" si="56"/>
        <v>-1.8820959498824806E-2</v>
      </c>
      <c r="L436" s="9">
        <v>0.1</v>
      </c>
      <c r="M436" s="2">
        <v>0.4</v>
      </c>
      <c r="N436" s="2">
        <v>0.1</v>
      </c>
      <c r="O436" s="2">
        <v>0.3</v>
      </c>
      <c r="P436" s="8">
        <v>0.1</v>
      </c>
      <c r="Q436" s="12">
        <f t="shared" si="49"/>
        <v>5.9398258657086502E-6</v>
      </c>
      <c r="R436" s="3">
        <f t="shared" si="50"/>
        <v>1.561976748925425E-4</v>
      </c>
      <c r="S436" s="14">
        <f t="shared" si="51"/>
        <v>1.2497906820445675E-2</v>
      </c>
    </row>
    <row r="437" spans="1:19" x14ac:dyDescent="0.35">
      <c r="A437" s="4">
        <v>44070</v>
      </c>
      <c r="B437" s="2">
        <v>22.610001</v>
      </c>
      <c r="C437" s="2">
        <v>13.597421000000001</v>
      </c>
      <c r="D437" s="2">
        <v>43.029998999999997</v>
      </c>
      <c r="E437" s="2">
        <v>54.40992</v>
      </c>
      <c r="F437" s="8">
        <v>1192.6899410000001</v>
      </c>
      <c r="G437" s="12">
        <f t="shared" si="52"/>
        <v>1.2013536877040492E-2</v>
      </c>
      <c r="H437" s="3">
        <f t="shared" si="53"/>
        <v>-1.3005992557968242E-2</v>
      </c>
      <c r="I437" s="3">
        <f t="shared" si="54"/>
        <v>-9.2917545511153675E-4</v>
      </c>
      <c r="J437" s="3">
        <f t="shared" si="55"/>
        <v>-1.3043619010973041E-2</v>
      </c>
      <c r="K437" s="14">
        <f t="shared" si="56"/>
        <v>-5.2766652841066504E-3</v>
      </c>
      <c r="L437" s="9">
        <v>0</v>
      </c>
      <c r="M437" s="2">
        <v>0.5</v>
      </c>
      <c r="N437" s="2">
        <v>0.1</v>
      </c>
      <c r="O437" s="2">
        <v>0.3</v>
      </c>
      <c r="P437" s="8">
        <v>0.1</v>
      </c>
      <c r="Q437" s="12">
        <f t="shared" si="49"/>
        <v>1.0619601461512747E-4</v>
      </c>
      <c r="R437" s="3">
        <f t="shared" si="50"/>
        <v>1.7477303442987882E-4</v>
      </c>
      <c r="S437" s="14">
        <f t="shared" si="51"/>
        <v>1.3220175279847042E-2</v>
      </c>
    </row>
    <row r="438" spans="1:19" x14ac:dyDescent="0.35">
      <c r="A438" s="4">
        <v>44071</v>
      </c>
      <c r="B438" s="2">
        <v>22.959999</v>
      </c>
      <c r="C438" s="2">
        <v>13.81498</v>
      </c>
      <c r="D438" s="2">
        <v>41.970001000000003</v>
      </c>
      <c r="E438" s="2">
        <v>53.913840999999998</v>
      </c>
      <c r="F438" s="8">
        <v>1190.579956</v>
      </c>
      <c r="G438" s="12">
        <f t="shared" si="52"/>
        <v>1.5361197379262682E-2</v>
      </c>
      <c r="H438" s="3">
        <f t="shared" si="53"/>
        <v>1.5873368265981281E-2</v>
      </c>
      <c r="I438" s="3">
        <f t="shared" si="54"/>
        <v>-2.4942422438865602E-2</v>
      </c>
      <c r="J438" s="3">
        <f t="shared" si="55"/>
        <v>-9.15925487634002E-3</v>
      </c>
      <c r="K438" s="14">
        <f t="shared" si="56"/>
        <v>-1.7706643749698622E-3</v>
      </c>
      <c r="L438" s="9">
        <v>0.4</v>
      </c>
      <c r="M438" s="2">
        <v>0</v>
      </c>
      <c r="N438" s="2">
        <v>0.2</v>
      </c>
      <c r="O438" s="2">
        <v>0.3</v>
      </c>
      <c r="P438" s="8">
        <v>0.1</v>
      </c>
      <c r="Q438" s="12">
        <f t="shared" si="49"/>
        <v>-2.5033500719997821E-4</v>
      </c>
      <c r="R438" s="3">
        <f t="shared" si="50"/>
        <v>2.5029628011976924E-4</v>
      </c>
      <c r="S438" s="14">
        <f t="shared" si="51"/>
        <v>1.5820754726616846E-2</v>
      </c>
    </row>
    <row r="439" spans="1:19" x14ac:dyDescent="0.35">
      <c r="A439" s="4">
        <v>44074</v>
      </c>
      <c r="B439" s="2">
        <v>22.629999000000002</v>
      </c>
      <c r="C439" s="2">
        <v>13.676532999999999</v>
      </c>
      <c r="D439" s="2">
        <v>40.419998</v>
      </c>
      <c r="E439" s="2">
        <v>52.118034000000002</v>
      </c>
      <c r="F439" s="8">
        <v>1197.98999</v>
      </c>
      <c r="G439" s="12">
        <f t="shared" si="52"/>
        <v>-1.4477112441042165E-2</v>
      </c>
      <c r="H439" s="3">
        <f t="shared" si="53"/>
        <v>-1.0072066270915954E-2</v>
      </c>
      <c r="I439" s="3">
        <f t="shared" si="54"/>
        <v>-3.7630438677023606E-2</v>
      </c>
      <c r="J439" s="3">
        <f t="shared" si="55"/>
        <v>-3.3876204401919921E-2</v>
      </c>
      <c r="K439" s="14">
        <f t="shared" si="56"/>
        <v>6.2045976793942735E-3</v>
      </c>
      <c r="L439" s="9">
        <v>0.3</v>
      </c>
      <c r="M439" s="2">
        <v>0.1</v>
      </c>
      <c r="N439" s="2">
        <v>0.2</v>
      </c>
      <c r="O439" s="2">
        <v>0.3</v>
      </c>
      <c r="P439" s="8">
        <v>0.1</v>
      </c>
      <c r="Q439" s="12">
        <f t="shared" si="49"/>
        <v>-1.5007881845055933E-4</v>
      </c>
      <c r="R439" s="3">
        <f t="shared" si="50"/>
        <v>1.9087400745652314E-4</v>
      </c>
      <c r="S439" s="14">
        <f t="shared" si="51"/>
        <v>1.3815715958882592E-2</v>
      </c>
    </row>
    <row r="440" spans="1:19" x14ac:dyDescent="0.35">
      <c r="A440" s="4">
        <v>44075</v>
      </c>
      <c r="B440" s="2">
        <v>22.610001</v>
      </c>
      <c r="C440" s="2">
        <v>13.795201</v>
      </c>
      <c r="D440" s="2">
        <v>42.080002</v>
      </c>
      <c r="E440" s="2">
        <v>52.673641000000003</v>
      </c>
      <c r="F440" s="8">
        <v>1207.8000489999999</v>
      </c>
      <c r="G440" s="12">
        <f t="shared" si="52"/>
        <v>-8.8408493822052811E-4</v>
      </c>
      <c r="H440" s="3">
        <f t="shared" si="53"/>
        <v>8.6393336580149003E-3</v>
      </c>
      <c r="I440" s="3">
        <f t="shared" si="54"/>
        <v>4.0247953462951944E-2</v>
      </c>
      <c r="J440" s="3">
        <f t="shared" si="55"/>
        <v>1.0604128741662611E-2</v>
      </c>
      <c r="K440" s="14">
        <f t="shared" si="56"/>
        <v>8.1554193955984781E-3</v>
      </c>
      <c r="L440" s="9">
        <v>0.2</v>
      </c>
      <c r="M440" s="2">
        <v>0.2</v>
      </c>
      <c r="N440" s="2">
        <v>0.2</v>
      </c>
      <c r="O440" s="2">
        <v>0.3</v>
      </c>
      <c r="P440" s="8">
        <v>0.1</v>
      </c>
      <c r="Q440" s="12">
        <f t="shared" si="49"/>
        <v>-4.9822629701140608E-5</v>
      </c>
      <c r="R440" s="3">
        <f t="shared" si="50"/>
        <v>1.5601971487440763E-4</v>
      </c>
      <c r="S440" s="14">
        <f t="shared" si="51"/>
        <v>1.2490785198473619E-2</v>
      </c>
    </row>
    <row r="441" spans="1:19" x14ac:dyDescent="0.35">
      <c r="A441" s="4">
        <v>44076</v>
      </c>
      <c r="B441" s="2">
        <v>21.65</v>
      </c>
      <c r="C441" s="2">
        <v>13.666644</v>
      </c>
      <c r="D441" s="2">
        <v>41.200001</v>
      </c>
      <c r="E441" s="2">
        <v>52.237094999999997</v>
      </c>
      <c r="F441" s="8">
        <v>1190.1800539999999</v>
      </c>
      <c r="G441" s="12">
        <f t="shared" si="52"/>
        <v>-4.3386876069596285E-2</v>
      </c>
      <c r="H441" s="3">
        <f t="shared" si="53"/>
        <v>-9.3626585614201355E-3</v>
      </c>
      <c r="I441" s="3">
        <f t="shared" si="54"/>
        <v>-2.1134335330645321E-2</v>
      </c>
      <c r="J441" s="3">
        <f t="shared" si="55"/>
        <v>-8.3222849491900053E-3</v>
      </c>
      <c r="K441" s="14">
        <f t="shared" si="56"/>
        <v>-1.4695961901083207E-2</v>
      </c>
      <c r="L441" s="9">
        <v>0.1</v>
      </c>
      <c r="M441" s="2">
        <v>0.3</v>
      </c>
      <c r="N441" s="2">
        <v>0.2</v>
      </c>
      <c r="O441" s="2">
        <v>0.3</v>
      </c>
      <c r="P441" s="8">
        <v>0.1</v>
      </c>
      <c r="Q441" s="12">
        <f t="shared" si="49"/>
        <v>5.0433559048278248E-5</v>
      </c>
      <c r="R441" s="3">
        <f t="shared" si="50"/>
        <v>1.4573340237342255E-4</v>
      </c>
      <c r="S441" s="14">
        <f t="shared" si="51"/>
        <v>1.207200904462147E-2</v>
      </c>
    </row>
    <row r="442" spans="1:19" x14ac:dyDescent="0.35">
      <c r="A442" s="4">
        <v>44077</v>
      </c>
      <c r="B442" s="2">
        <v>20.719999000000001</v>
      </c>
      <c r="C442" s="2">
        <v>13.439197</v>
      </c>
      <c r="D442" s="2">
        <v>40.259998000000003</v>
      </c>
      <c r="E442" s="2">
        <v>51.959290000000003</v>
      </c>
      <c r="F442" s="8">
        <v>1202.910034</v>
      </c>
      <c r="G442" s="12">
        <f t="shared" si="52"/>
        <v>-4.3906085319765795E-2</v>
      </c>
      <c r="H442" s="3">
        <f t="shared" si="53"/>
        <v>-1.6782533211967932E-2</v>
      </c>
      <c r="I442" s="3">
        <f t="shared" si="54"/>
        <v>-2.3079910092779661E-2</v>
      </c>
      <c r="J442" s="3">
        <f t="shared" si="55"/>
        <v>-5.3323473411666829E-3</v>
      </c>
      <c r="K442" s="14">
        <f t="shared" si="56"/>
        <v>1.0639047930911647E-2</v>
      </c>
      <c r="L442" s="9">
        <v>0</v>
      </c>
      <c r="M442" s="2">
        <v>0.4</v>
      </c>
      <c r="N442" s="2">
        <v>0.2</v>
      </c>
      <c r="O442" s="2">
        <v>0.3</v>
      </c>
      <c r="P442" s="8">
        <v>0.1</v>
      </c>
      <c r="Q442" s="12">
        <f t="shared" si="49"/>
        <v>1.5068974779769708E-4</v>
      </c>
      <c r="R442" s="3">
        <f t="shared" si="50"/>
        <v>1.6001506995356801E-4</v>
      </c>
      <c r="S442" s="14">
        <f t="shared" si="51"/>
        <v>1.264970631886638E-2</v>
      </c>
    </row>
    <row r="443" spans="1:19" x14ac:dyDescent="0.35">
      <c r="A443" s="4">
        <v>44078</v>
      </c>
      <c r="B443" s="2">
        <v>21.620000999999998</v>
      </c>
      <c r="C443" s="2">
        <v>12.905189</v>
      </c>
      <c r="D443" s="2">
        <v>40.080002</v>
      </c>
      <c r="E443" s="2">
        <v>51.443367000000002</v>
      </c>
      <c r="F443" s="8">
        <v>1198.6800539999999</v>
      </c>
      <c r="G443" s="12">
        <f t="shared" si="52"/>
        <v>4.2519489335797099E-2</v>
      </c>
      <c r="H443" s="3">
        <f t="shared" si="53"/>
        <v>-4.0546107736690658E-2</v>
      </c>
      <c r="I443" s="3">
        <f t="shared" si="54"/>
        <v>-4.4808638577377036E-3</v>
      </c>
      <c r="J443" s="3">
        <f t="shared" si="55"/>
        <v>-9.9789946656459478E-3</v>
      </c>
      <c r="K443" s="14">
        <f t="shared" si="56"/>
        <v>-3.5226530916469267E-3</v>
      </c>
      <c r="L443" s="9">
        <v>0.3</v>
      </c>
      <c r="M443" s="2">
        <v>0</v>
      </c>
      <c r="N443" s="2">
        <v>0.3</v>
      </c>
      <c r="O443" s="2">
        <v>0.3</v>
      </c>
      <c r="P443" s="8">
        <v>0.1</v>
      </c>
      <c r="Q443" s="12">
        <f t="shared" si="49"/>
        <v>-1.0558508526798972E-4</v>
      </c>
      <c r="R443" s="3">
        <f t="shared" si="50"/>
        <v>2.031956528217258E-4</v>
      </c>
      <c r="S443" s="14">
        <f t="shared" si="51"/>
        <v>1.4254671263193894E-2</v>
      </c>
    </row>
    <row r="444" spans="1:19" x14ac:dyDescent="0.35">
      <c r="A444" s="4">
        <v>44081</v>
      </c>
      <c r="B444" s="2">
        <v>21.639999</v>
      </c>
      <c r="C444" s="2">
        <v>12.875522</v>
      </c>
      <c r="D444" s="2">
        <v>41.189999</v>
      </c>
      <c r="E444" s="2">
        <v>51.631878</v>
      </c>
      <c r="F444" s="8">
        <v>1198.670044</v>
      </c>
      <c r="G444" s="12">
        <f t="shared" si="52"/>
        <v>9.2454930302875485E-4</v>
      </c>
      <c r="H444" s="3">
        <f t="shared" si="53"/>
        <v>-2.3014891323316503E-3</v>
      </c>
      <c r="I444" s="3">
        <f t="shared" si="54"/>
        <v>2.7317977493444119E-2</v>
      </c>
      <c r="J444" s="3">
        <f t="shared" si="55"/>
        <v>3.6577397448815884E-3</v>
      </c>
      <c r="K444" s="14">
        <f t="shared" si="56"/>
        <v>-8.3508870968388402E-6</v>
      </c>
      <c r="L444" s="9">
        <v>0.2</v>
      </c>
      <c r="M444" s="2">
        <v>0.1</v>
      </c>
      <c r="N444" s="2">
        <v>0.3</v>
      </c>
      <c r="O444" s="2">
        <v>0.3</v>
      </c>
      <c r="P444" s="8">
        <v>0.1</v>
      </c>
      <c r="Q444" s="12">
        <f t="shared" si="49"/>
        <v>-5.3288965185709292E-6</v>
      </c>
      <c r="R444" s="3">
        <f t="shared" si="50"/>
        <v>1.6404766828241943E-4</v>
      </c>
      <c r="S444" s="14">
        <f t="shared" si="51"/>
        <v>1.2808109473392996E-2</v>
      </c>
    </row>
    <row r="445" spans="1:19" x14ac:dyDescent="0.35">
      <c r="A445" s="4">
        <v>44082</v>
      </c>
      <c r="B445" s="2">
        <v>21</v>
      </c>
      <c r="C445" s="2">
        <v>11.936063000000001</v>
      </c>
      <c r="D445" s="2">
        <v>40.099997999999999</v>
      </c>
      <c r="E445" s="2">
        <v>50.669483</v>
      </c>
      <c r="F445" s="8">
        <v>1188.910034</v>
      </c>
      <c r="G445" s="12">
        <f t="shared" si="52"/>
        <v>-3.0020970044135793E-2</v>
      </c>
      <c r="H445" s="3">
        <f t="shared" si="53"/>
        <v>-7.5763667819637268E-2</v>
      </c>
      <c r="I445" s="3">
        <f t="shared" si="54"/>
        <v>-2.6819199733041199E-2</v>
      </c>
      <c r="J445" s="3">
        <f t="shared" si="55"/>
        <v>-1.8815456271414056E-2</v>
      </c>
      <c r="K445" s="14">
        <f t="shared" si="56"/>
        <v>-8.1756959314224515E-3</v>
      </c>
      <c r="L445" s="9">
        <v>0.1</v>
      </c>
      <c r="M445" s="2">
        <v>0.2</v>
      </c>
      <c r="N445" s="2">
        <v>0.3</v>
      </c>
      <c r="O445" s="2">
        <v>0.3</v>
      </c>
      <c r="P445" s="8">
        <v>0.1</v>
      </c>
      <c r="Q445" s="12">
        <f t="shared" si="49"/>
        <v>9.4927292230847886E-5</v>
      </c>
      <c r="R445" s="3">
        <f t="shared" si="50"/>
        <v>1.4946766382424348E-4</v>
      </c>
      <c r="S445" s="14">
        <f t="shared" si="51"/>
        <v>1.2225696864565368E-2</v>
      </c>
    </row>
    <row r="446" spans="1:19" x14ac:dyDescent="0.35">
      <c r="A446" s="4">
        <v>44083</v>
      </c>
      <c r="B446" s="2">
        <v>21.860001</v>
      </c>
      <c r="C446" s="2">
        <v>12.173401</v>
      </c>
      <c r="D446" s="2">
        <v>40.959999000000003</v>
      </c>
      <c r="E446" s="2">
        <v>50.639721000000002</v>
      </c>
      <c r="F446" s="8">
        <v>1189.280029</v>
      </c>
      <c r="G446" s="12">
        <f t="shared" si="52"/>
        <v>4.0136090770622711E-2</v>
      </c>
      <c r="H446" s="3">
        <f t="shared" si="53"/>
        <v>1.9689004043627795E-2</v>
      </c>
      <c r="I446" s="3">
        <f t="shared" si="54"/>
        <v>2.1219671879979005E-2</v>
      </c>
      <c r="J446" s="3">
        <f t="shared" si="55"/>
        <v>-5.8754781759374596E-4</v>
      </c>
      <c r="K446" s="14">
        <f t="shared" si="56"/>
        <v>3.1115679839196044E-4</v>
      </c>
      <c r="L446" s="9">
        <v>0</v>
      </c>
      <c r="M446" s="2">
        <v>0.3</v>
      </c>
      <c r="N446" s="2">
        <v>0.3</v>
      </c>
      <c r="O446" s="2">
        <v>0.3</v>
      </c>
      <c r="P446" s="8">
        <v>0.1</v>
      </c>
      <c r="Q446" s="12">
        <f t="shared" si="49"/>
        <v>1.9518348098026669E-4</v>
      </c>
      <c r="R446" s="3">
        <f t="shared" si="50"/>
        <v>1.5945563944719802E-4</v>
      </c>
      <c r="S446" s="14">
        <f t="shared" si="51"/>
        <v>1.2627574567081282E-2</v>
      </c>
    </row>
    <row r="447" spans="1:19" x14ac:dyDescent="0.35">
      <c r="A447" s="4">
        <v>44084</v>
      </c>
      <c r="B447" s="2">
        <v>21.450001</v>
      </c>
      <c r="C447" s="2">
        <v>12.47996</v>
      </c>
      <c r="D447" s="2">
        <v>40.009998000000003</v>
      </c>
      <c r="E447" s="2">
        <v>49.925364999999999</v>
      </c>
      <c r="F447" s="8">
        <v>1188.579956</v>
      </c>
      <c r="G447" s="12">
        <f t="shared" si="52"/>
        <v>-1.8933836499974099E-2</v>
      </c>
      <c r="H447" s="3">
        <f t="shared" si="53"/>
        <v>2.4870832166702488E-2</v>
      </c>
      <c r="I447" s="3">
        <f t="shared" si="54"/>
        <v>-2.3466583435550293E-2</v>
      </c>
      <c r="J447" s="3">
        <f t="shared" si="55"/>
        <v>-1.4207078100467015E-2</v>
      </c>
      <c r="K447" s="14">
        <f t="shared" si="56"/>
        <v>-5.8882610804952829E-4</v>
      </c>
      <c r="L447" s="9">
        <v>0.2</v>
      </c>
      <c r="M447" s="2">
        <v>0</v>
      </c>
      <c r="N447" s="2">
        <v>0.4</v>
      </c>
      <c r="O447" s="2">
        <v>0.3</v>
      </c>
      <c r="P447" s="8">
        <v>0.1</v>
      </c>
      <c r="Q447" s="12">
        <f t="shared" si="49"/>
        <v>3.9164836663998682E-5</v>
      </c>
      <c r="R447" s="3">
        <f t="shared" si="50"/>
        <v>1.8627415566037204E-4</v>
      </c>
      <c r="S447" s="14">
        <f t="shared" si="51"/>
        <v>1.364822903018454E-2</v>
      </c>
    </row>
    <row r="448" spans="1:19" x14ac:dyDescent="0.35">
      <c r="A448" s="4">
        <v>44085</v>
      </c>
      <c r="B448" s="2">
        <v>21.15</v>
      </c>
      <c r="C448" s="2">
        <v>12.331625000000001</v>
      </c>
      <c r="D448" s="2">
        <v>39.630001</v>
      </c>
      <c r="E448" s="2">
        <v>50.213093000000001</v>
      </c>
      <c r="F448" s="8">
        <v>1186.6899410000001</v>
      </c>
      <c r="G448" s="12">
        <f t="shared" si="52"/>
        <v>-1.4084786501784604E-2</v>
      </c>
      <c r="H448" s="3">
        <f t="shared" si="53"/>
        <v>-1.1957056939221351E-2</v>
      </c>
      <c r="I448" s="3">
        <f t="shared" si="54"/>
        <v>-9.542940445886966E-3</v>
      </c>
      <c r="J448" s="3">
        <f t="shared" si="55"/>
        <v>5.7466191823765224E-3</v>
      </c>
      <c r="K448" s="14">
        <f t="shared" si="56"/>
        <v>-1.5914110655576253E-3</v>
      </c>
      <c r="L448" s="9">
        <v>0.1</v>
      </c>
      <c r="M448" s="2">
        <v>0.1</v>
      </c>
      <c r="N448" s="2">
        <v>0.4</v>
      </c>
      <c r="O448" s="2">
        <v>0.3</v>
      </c>
      <c r="P448" s="8">
        <v>0.1</v>
      </c>
      <c r="Q448" s="12">
        <f t="shared" si="49"/>
        <v>1.394210254134175E-4</v>
      </c>
      <c r="R448" s="3">
        <f t="shared" si="50"/>
        <v>1.6740045924500523E-4</v>
      </c>
      <c r="S448" s="14">
        <f t="shared" si="51"/>
        <v>1.293833293917749E-2</v>
      </c>
    </row>
    <row r="449" spans="1:19" x14ac:dyDescent="0.35">
      <c r="A449" s="4">
        <v>44088</v>
      </c>
      <c r="B449" s="2">
        <v>21.07</v>
      </c>
      <c r="C449" s="2">
        <v>12.460182</v>
      </c>
      <c r="D449" s="2">
        <v>40.099997999999999</v>
      </c>
      <c r="E449" s="2">
        <v>50.471049999999998</v>
      </c>
      <c r="F449" s="8">
        <v>1173.1899410000001</v>
      </c>
      <c r="G449" s="12">
        <f t="shared" si="52"/>
        <v>-3.7896776761892044E-3</v>
      </c>
      <c r="H449" s="3">
        <f t="shared" si="53"/>
        <v>1.0371019125484016E-2</v>
      </c>
      <c r="I449" s="3">
        <f t="shared" si="54"/>
        <v>1.1789852001458235E-2</v>
      </c>
      <c r="J449" s="3">
        <f t="shared" si="55"/>
        <v>5.1240951500617212E-3</v>
      </c>
      <c r="K449" s="14">
        <f t="shared" si="56"/>
        <v>-1.1441385107018379E-2</v>
      </c>
      <c r="L449" s="9">
        <v>0</v>
      </c>
      <c r="M449" s="2">
        <v>0.2</v>
      </c>
      <c r="N449" s="2">
        <v>0.4</v>
      </c>
      <c r="O449" s="2">
        <v>0.3</v>
      </c>
      <c r="P449" s="8">
        <v>0.1</v>
      </c>
      <c r="Q449" s="12">
        <f t="shared" si="49"/>
        <v>2.3967721416283633E-4</v>
      </c>
      <c r="R449" s="3">
        <f t="shared" si="50"/>
        <v>1.7309474291076889E-4</v>
      </c>
      <c r="S449" s="14">
        <f t="shared" si="51"/>
        <v>1.3156547530061558E-2</v>
      </c>
    </row>
    <row r="450" spans="1:19" x14ac:dyDescent="0.35">
      <c r="A450" s="4">
        <v>44089</v>
      </c>
      <c r="B450" s="2">
        <v>20.620000999999998</v>
      </c>
      <c r="C450" s="2">
        <v>11.985507999999999</v>
      </c>
      <c r="D450" s="2">
        <v>39.919998</v>
      </c>
      <c r="E450" s="2">
        <v>50.570270999999998</v>
      </c>
      <c r="F450" s="8">
        <v>1180.01001</v>
      </c>
      <c r="G450" s="12">
        <f t="shared" si="52"/>
        <v>-2.1588700730679873E-2</v>
      </c>
      <c r="H450" s="3">
        <f t="shared" si="53"/>
        <v>-3.8839866689900929E-2</v>
      </c>
      <c r="I450" s="3">
        <f t="shared" si="54"/>
        <v>-4.4988830941489651E-3</v>
      </c>
      <c r="J450" s="3">
        <f t="shared" si="55"/>
        <v>1.9639694119346898E-3</v>
      </c>
      <c r="K450" s="14">
        <f t="shared" si="56"/>
        <v>5.796437393718018E-3</v>
      </c>
      <c r="L450" s="9">
        <v>0.1</v>
      </c>
      <c r="M450" s="2">
        <v>0</v>
      </c>
      <c r="N450" s="2">
        <v>0.5</v>
      </c>
      <c r="O450" s="2">
        <v>0.3</v>
      </c>
      <c r="P450" s="8">
        <v>0.1</v>
      </c>
      <c r="Q450" s="12">
        <f t="shared" si="49"/>
        <v>1.8391475859598711E-4</v>
      </c>
      <c r="R450" s="3">
        <f t="shared" si="50"/>
        <v>1.9953178863570773E-4</v>
      </c>
      <c r="S450" s="14">
        <f t="shared" si="51"/>
        <v>1.4125572152507938E-2</v>
      </c>
    </row>
    <row r="451" spans="1:19" x14ac:dyDescent="0.35">
      <c r="A451" s="4">
        <v>44091</v>
      </c>
      <c r="B451" s="2">
        <v>19.68</v>
      </c>
      <c r="C451" s="2">
        <v>11.965731</v>
      </c>
      <c r="D451" s="2">
        <v>38.889999000000003</v>
      </c>
      <c r="E451" s="2">
        <v>50.490893999999997</v>
      </c>
      <c r="F451" s="8">
        <v>1179.98999</v>
      </c>
      <c r="G451" s="12">
        <f t="shared" si="52"/>
        <v>-4.6658635461310508E-2</v>
      </c>
      <c r="H451" s="3">
        <f t="shared" si="53"/>
        <v>-1.6514389501716324E-3</v>
      </c>
      <c r="I451" s="3">
        <f t="shared" si="54"/>
        <v>-2.614027888895697E-2</v>
      </c>
      <c r="J451" s="3">
        <f t="shared" si="55"/>
        <v>-1.5708707953800271E-3</v>
      </c>
      <c r="K451" s="14">
        <f t="shared" si="56"/>
        <v>-1.6966101695275647E-5</v>
      </c>
      <c r="L451" s="9">
        <v>0</v>
      </c>
      <c r="M451" s="2">
        <v>0.1</v>
      </c>
      <c r="N451" s="2">
        <v>0.5</v>
      </c>
      <c r="O451" s="2">
        <v>0.3</v>
      </c>
      <c r="P451" s="8">
        <v>0.1</v>
      </c>
      <c r="Q451" s="12">
        <f t="shared" ref="Q451:Q514" si="57">SUMPRODUCT($U$5:$Y$5,L451:P451)</f>
        <v>2.8417094734540594E-4</v>
      </c>
      <c r="R451" s="3">
        <f t="shared" ref="R451:R514" si="58">POWER(L451,2)*$V$9+POWER(M451,2)*$W$10+POWER(N451,2)*$X$11+POWER(O451,2)*$Y$12+POWER(P451,2)*$Z$13+2*(L451*M451*$V$10+N451*O451*$X$12+N451*P451*$X$13+$O$3*P451*$Y$13+L451*N451*$V$11+L451*O451*$V$12+L451*P451*$V$13+M451*N451*$W$11+M451*O451*$W$12+M451*P451*$W$13)</f>
        <v>2.009323803442805E-4</v>
      </c>
      <c r="S451" s="14">
        <f t="shared" si="51"/>
        <v>1.417506191677061E-2</v>
      </c>
    </row>
    <row r="452" spans="1:19" x14ac:dyDescent="0.35">
      <c r="A452" s="4">
        <v>44092</v>
      </c>
      <c r="B452" s="2">
        <v>19.620000999999998</v>
      </c>
      <c r="C452" s="2">
        <v>12.005286999999999</v>
      </c>
      <c r="D452" s="2">
        <v>37.409999999999997</v>
      </c>
      <c r="E452" s="2">
        <v>50.421444000000001</v>
      </c>
      <c r="F452" s="8">
        <v>1188.790039</v>
      </c>
      <c r="G452" s="12">
        <f t="shared" si="52"/>
        <v>-3.0533865184921567E-3</v>
      </c>
      <c r="H452" s="3">
        <f t="shared" si="53"/>
        <v>3.300321738865014E-3</v>
      </c>
      <c r="I452" s="3">
        <f t="shared" si="54"/>
        <v>-3.8799074094049944E-2</v>
      </c>
      <c r="J452" s="3">
        <f t="shared" si="55"/>
        <v>-1.3764424121251941E-3</v>
      </c>
      <c r="K452" s="14">
        <f t="shared" si="56"/>
        <v>7.430060517823669E-3</v>
      </c>
      <c r="L452" s="9">
        <v>0</v>
      </c>
      <c r="M452" s="2">
        <v>0</v>
      </c>
      <c r="N452" s="2">
        <v>0.6</v>
      </c>
      <c r="O452" s="2">
        <v>0.3</v>
      </c>
      <c r="P452" s="8">
        <v>0.1</v>
      </c>
      <c r="Q452" s="12">
        <f t="shared" si="57"/>
        <v>3.2866468052797555E-4</v>
      </c>
      <c r="R452" s="3">
        <f t="shared" si="58"/>
        <v>2.4296855174773296E-4</v>
      </c>
      <c r="S452" s="14">
        <f t="shared" ref="S452:S515" si="59">SQRT(R452)</f>
        <v>1.5587448532320258E-2</v>
      </c>
    </row>
    <row r="453" spans="1:19" x14ac:dyDescent="0.35">
      <c r="A453" s="4">
        <v>44095</v>
      </c>
      <c r="B453" s="2">
        <v>19.760000000000002</v>
      </c>
      <c r="C453" s="2">
        <v>11.86684</v>
      </c>
      <c r="D453" s="2">
        <v>39.090000000000003</v>
      </c>
      <c r="E453" s="2">
        <v>50.500819999999997</v>
      </c>
      <c r="F453" s="8">
        <v>1185.349976</v>
      </c>
      <c r="G453" s="12">
        <f t="shared" ref="G453:G504" si="60">LN(B453/B452)</f>
        <v>7.110187214106686E-3</v>
      </c>
      <c r="H453" s="3">
        <f t="shared" ref="H453:H504" si="61">LN(C453/C452)</f>
        <v>-1.1599180268224454E-2</v>
      </c>
      <c r="I453" s="3">
        <f t="shared" ref="I453:I504" si="62">LN(D453/D452)</f>
        <v>4.3928631444808776E-2</v>
      </c>
      <c r="J453" s="3">
        <f t="shared" ref="J453:J504" si="63">LN(E453/E452)</f>
        <v>1.5730129947764124E-3</v>
      </c>
      <c r="K453" s="14">
        <f t="shared" ref="K453:K504" si="64">LN(F453/F452)</f>
        <v>-2.8979465286485175E-3</v>
      </c>
      <c r="L453" s="9">
        <v>0.5</v>
      </c>
      <c r="M453" s="2">
        <v>0</v>
      </c>
      <c r="N453" s="2">
        <v>0</v>
      </c>
      <c r="O453" s="2">
        <v>0.4</v>
      </c>
      <c r="P453" s="8">
        <v>0.1</v>
      </c>
      <c r="Q453" s="12">
        <f t="shared" si="57"/>
        <v>-3.9728305720002381E-4</v>
      </c>
      <c r="R453" s="3">
        <f t="shared" si="58"/>
        <v>3.3860548854125429E-4</v>
      </c>
      <c r="S453" s="14">
        <f t="shared" si="59"/>
        <v>1.8401236060147E-2</v>
      </c>
    </row>
    <row r="454" spans="1:19" x14ac:dyDescent="0.35">
      <c r="A454" s="4">
        <v>44096</v>
      </c>
      <c r="B454" s="2">
        <v>19.629999000000002</v>
      </c>
      <c r="C454" s="2">
        <v>11.936063000000001</v>
      </c>
      <c r="D454" s="2">
        <v>39.709999000000003</v>
      </c>
      <c r="E454" s="2">
        <v>51.076267000000001</v>
      </c>
      <c r="F454" s="8">
        <v>1188.969971</v>
      </c>
      <c r="G454" s="12">
        <f t="shared" si="60"/>
        <v>-6.6007349737883924E-3</v>
      </c>
      <c r="H454" s="3">
        <f t="shared" si="61"/>
        <v>5.8163657728389721E-3</v>
      </c>
      <c r="I454" s="3">
        <f t="shared" si="62"/>
        <v>1.5736340155722745E-2</v>
      </c>
      <c r="J454" s="3">
        <f t="shared" si="63"/>
        <v>1.1330373279635224E-2</v>
      </c>
      <c r="K454" s="14">
        <f t="shared" si="64"/>
        <v>3.049292332755455E-3</v>
      </c>
      <c r="L454" s="9">
        <v>0.4</v>
      </c>
      <c r="M454" s="2">
        <v>0.1</v>
      </c>
      <c r="N454" s="2">
        <v>0</v>
      </c>
      <c r="O454" s="2">
        <v>0.4</v>
      </c>
      <c r="P454" s="8">
        <v>0.1</v>
      </c>
      <c r="Q454" s="12">
        <f t="shared" si="57"/>
        <v>-2.9702686845060498E-4</v>
      </c>
      <c r="R454" s="3">
        <f t="shared" si="58"/>
        <v>2.5757043364762176E-4</v>
      </c>
      <c r="S454" s="14">
        <f t="shared" si="59"/>
        <v>1.6049001017123209E-2</v>
      </c>
    </row>
    <row r="455" spans="1:19" x14ac:dyDescent="0.35">
      <c r="A455" s="4">
        <v>44097</v>
      </c>
      <c r="B455" s="2">
        <v>19.709999</v>
      </c>
      <c r="C455" s="2">
        <v>12.153622</v>
      </c>
      <c r="D455" s="2">
        <v>39.740001999999997</v>
      </c>
      <c r="E455" s="2">
        <v>50.351993999999998</v>
      </c>
      <c r="F455" s="8">
        <v>1184.4799800000001</v>
      </c>
      <c r="G455" s="12">
        <f t="shared" si="60"/>
        <v>4.0671130830268725E-3</v>
      </c>
      <c r="H455" s="3">
        <f t="shared" si="61"/>
        <v>1.8062910759770699E-2</v>
      </c>
      <c r="I455" s="3">
        <f t="shared" si="62"/>
        <v>7.5526749020954321E-4</v>
      </c>
      <c r="J455" s="3">
        <f t="shared" si="63"/>
        <v>-1.4281725891944824E-2</v>
      </c>
      <c r="K455" s="14">
        <f t="shared" si="64"/>
        <v>-3.783518885070807E-3</v>
      </c>
      <c r="L455" s="9">
        <v>0.3</v>
      </c>
      <c r="M455" s="2">
        <v>0.2</v>
      </c>
      <c r="N455" s="2">
        <v>0</v>
      </c>
      <c r="O455" s="2">
        <v>0.4</v>
      </c>
      <c r="P455" s="8">
        <v>0.1</v>
      </c>
      <c r="Q455" s="12">
        <f t="shared" si="57"/>
        <v>-1.9677067970118615E-4</v>
      </c>
      <c r="R455" s="3">
        <f t="shared" si="58"/>
        <v>2.0110335883511963E-4</v>
      </c>
      <c r="S455" s="14">
        <f t="shared" si="59"/>
        <v>1.4181091595329312E-2</v>
      </c>
    </row>
    <row r="456" spans="1:19" x14ac:dyDescent="0.35">
      <c r="A456" s="4">
        <v>44098</v>
      </c>
      <c r="B456" s="2">
        <v>20.309999000000001</v>
      </c>
      <c r="C456" s="2">
        <v>12.539294</v>
      </c>
      <c r="D456" s="2">
        <v>39.380001</v>
      </c>
      <c r="E456" s="2">
        <v>51.750934999999998</v>
      </c>
      <c r="F456" s="8">
        <v>1190.920044</v>
      </c>
      <c r="G456" s="12">
        <f t="shared" si="60"/>
        <v>2.9987255926502743E-2</v>
      </c>
      <c r="H456" s="3">
        <f t="shared" si="61"/>
        <v>3.1240001421988295E-2</v>
      </c>
      <c r="I456" s="3">
        <f t="shared" si="62"/>
        <v>-9.1001888462158339E-3</v>
      </c>
      <c r="J456" s="3">
        <f t="shared" si="63"/>
        <v>2.7404278454172967E-2</v>
      </c>
      <c r="K456" s="14">
        <f t="shared" si="64"/>
        <v>5.4223117907446659E-3</v>
      </c>
      <c r="L456" s="9">
        <v>0.2</v>
      </c>
      <c r="M456" s="2">
        <v>0.3</v>
      </c>
      <c r="N456" s="2">
        <v>0</v>
      </c>
      <c r="O456" s="2">
        <v>0.4</v>
      </c>
      <c r="P456" s="8">
        <v>0.1</v>
      </c>
      <c r="Q456" s="12">
        <f t="shared" si="57"/>
        <v>-9.6514490951767377E-5</v>
      </c>
      <c r="R456" s="3">
        <f t="shared" si="58"/>
        <v>1.6920426410374804E-4</v>
      </c>
      <c r="S456" s="14">
        <f t="shared" si="59"/>
        <v>1.3007853939207191E-2</v>
      </c>
    </row>
    <row r="457" spans="1:19" x14ac:dyDescent="0.35">
      <c r="A457" s="4">
        <v>44099</v>
      </c>
      <c r="B457" s="2">
        <v>20.110001</v>
      </c>
      <c r="C457" s="2">
        <v>12.895300000000001</v>
      </c>
      <c r="D457" s="2">
        <v>39.619999</v>
      </c>
      <c r="E457" s="2">
        <v>53.040740999999997</v>
      </c>
      <c r="F457" s="8">
        <v>1194.920044</v>
      </c>
      <c r="G457" s="12">
        <f t="shared" si="60"/>
        <v>-9.896072844399334E-3</v>
      </c>
      <c r="H457" s="3">
        <f t="shared" si="61"/>
        <v>2.7995670114647375E-2</v>
      </c>
      <c r="I457" s="3">
        <f t="shared" si="62"/>
        <v>6.0759174260465966E-3</v>
      </c>
      <c r="J457" s="3">
        <f t="shared" si="63"/>
        <v>2.4617816753143649E-2</v>
      </c>
      <c r="K457" s="14">
        <f t="shared" si="64"/>
        <v>3.353119740021197E-3</v>
      </c>
      <c r="L457" s="9">
        <v>0.1</v>
      </c>
      <c r="M457" s="2">
        <v>0.4</v>
      </c>
      <c r="N457" s="2">
        <v>0</v>
      </c>
      <c r="O457" s="2">
        <v>0.4</v>
      </c>
      <c r="P457" s="8">
        <v>0.1</v>
      </c>
      <c r="Q457" s="12">
        <f t="shared" si="57"/>
        <v>3.7416977976514383E-6</v>
      </c>
      <c r="R457" s="3">
        <f t="shared" si="58"/>
        <v>1.6187314945350696E-4</v>
      </c>
      <c r="S457" s="14">
        <f t="shared" si="59"/>
        <v>1.2722937925397065E-2</v>
      </c>
    </row>
    <row r="458" spans="1:19" x14ac:dyDescent="0.35">
      <c r="A458" s="4">
        <v>44102</v>
      </c>
      <c r="B458" s="2">
        <v>20.950001</v>
      </c>
      <c r="C458" s="2">
        <v>12.895300000000001</v>
      </c>
      <c r="D458" s="2">
        <v>39.900002000000001</v>
      </c>
      <c r="E458" s="2">
        <v>53.417763000000001</v>
      </c>
      <c r="F458" s="8">
        <v>1200.5699460000001</v>
      </c>
      <c r="G458" s="12">
        <f t="shared" si="60"/>
        <v>4.0921440589778764E-2</v>
      </c>
      <c r="H458" s="3">
        <f t="shared" si="61"/>
        <v>0</v>
      </c>
      <c r="I458" s="3">
        <f t="shared" si="62"/>
        <v>7.0423579905031751E-3</v>
      </c>
      <c r="J458" s="3">
        <f t="shared" si="63"/>
        <v>7.0830147347642845E-3</v>
      </c>
      <c r="K458" s="14">
        <f t="shared" si="64"/>
        <v>4.7171246801594189E-3</v>
      </c>
      <c r="L458" s="9">
        <v>0</v>
      </c>
      <c r="M458" s="2">
        <v>0.5</v>
      </c>
      <c r="N458" s="2">
        <v>0</v>
      </c>
      <c r="O458" s="2">
        <v>0.4</v>
      </c>
      <c r="P458" s="8">
        <v>0.1</v>
      </c>
      <c r="Q458" s="12">
        <f t="shared" si="57"/>
        <v>1.0399788654707024E-4</v>
      </c>
      <c r="R458" s="3">
        <f t="shared" si="58"/>
        <v>1.791100148843963E-4</v>
      </c>
      <c r="S458" s="14">
        <f t="shared" si="59"/>
        <v>1.338319897798715E-2</v>
      </c>
    </row>
    <row r="459" spans="1:19" x14ac:dyDescent="0.35">
      <c r="A459" s="4">
        <v>44103</v>
      </c>
      <c r="B459" s="2">
        <v>20.950001</v>
      </c>
      <c r="C459" s="2">
        <v>13.191971000000001</v>
      </c>
      <c r="D459" s="2">
        <v>40.919998</v>
      </c>
      <c r="E459" s="2">
        <v>52.981212999999997</v>
      </c>
      <c r="F459" s="8">
        <v>1204.1999510000001</v>
      </c>
      <c r="G459" s="12">
        <f t="shared" si="60"/>
        <v>0</v>
      </c>
      <c r="H459" s="3">
        <f t="shared" si="61"/>
        <v>2.2745483058864247E-2</v>
      </c>
      <c r="I459" s="3">
        <f t="shared" si="62"/>
        <v>2.5242518186439446E-2</v>
      </c>
      <c r="J459" s="3">
        <f t="shared" si="63"/>
        <v>-8.2059520889531425E-3</v>
      </c>
      <c r="K459" s="14">
        <f t="shared" si="64"/>
        <v>3.0190063187648278E-3</v>
      </c>
      <c r="L459" s="9">
        <v>0.4</v>
      </c>
      <c r="M459" s="2">
        <v>0</v>
      </c>
      <c r="N459" s="2">
        <v>0.1</v>
      </c>
      <c r="O459" s="2">
        <v>0.4</v>
      </c>
      <c r="P459" s="8">
        <v>0.1</v>
      </c>
      <c r="Q459" s="12">
        <f t="shared" si="57"/>
        <v>-2.5253313526803537E-4</v>
      </c>
      <c r="R459" s="3">
        <f t="shared" si="58"/>
        <v>2.5227019761443065E-4</v>
      </c>
      <c r="S459" s="14">
        <f t="shared" si="59"/>
        <v>1.5883016011275397E-2</v>
      </c>
    </row>
    <row r="460" spans="1:19" x14ac:dyDescent="0.35">
      <c r="A460" s="4">
        <v>44104</v>
      </c>
      <c r="B460" s="2">
        <v>21.08</v>
      </c>
      <c r="C460" s="2">
        <v>13.320527999999999</v>
      </c>
      <c r="D460" s="2">
        <v>41.369999</v>
      </c>
      <c r="E460" s="2">
        <v>52.633957000000002</v>
      </c>
      <c r="F460" s="8">
        <v>1198.900024</v>
      </c>
      <c r="G460" s="12">
        <f t="shared" si="60"/>
        <v>6.1860295723188954E-3</v>
      </c>
      <c r="H460" s="3">
        <f t="shared" si="61"/>
        <v>9.6979170133726922E-3</v>
      </c>
      <c r="I460" s="3">
        <f t="shared" si="62"/>
        <v>1.0937064093645225E-2</v>
      </c>
      <c r="J460" s="3">
        <f t="shared" si="63"/>
        <v>-6.5758972190901668E-3</v>
      </c>
      <c r="K460" s="14">
        <f t="shared" si="64"/>
        <v>-4.4109156074736196E-3</v>
      </c>
      <c r="L460" s="9">
        <v>0.3</v>
      </c>
      <c r="M460" s="2">
        <v>0.1</v>
      </c>
      <c r="N460" s="2">
        <v>0.1</v>
      </c>
      <c r="O460" s="2">
        <v>0.4</v>
      </c>
      <c r="P460" s="8">
        <v>0.1</v>
      </c>
      <c r="Q460" s="12">
        <f t="shared" si="57"/>
        <v>-1.5227694651861649E-4</v>
      </c>
      <c r="R460" s="3">
        <f t="shared" si="58"/>
        <v>1.9150943084473768E-4</v>
      </c>
      <c r="S460" s="14">
        <f t="shared" si="59"/>
        <v>1.3838693249174132E-2</v>
      </c>
    </row>
    <row r="461" spans="1:19" x14ac:dyDescent="0.35">
      <c r="A461" s="4">
        <v>44105</v>
      </c>
      <c r="B461" s="2">
        <v>20.959999</v>
      </c>
      <c r="C461" s="2">
        <v>13.112859</v>
      </c>
      <c r="D461" s="2">
        <v>39.310001</v>
      </c>
      <c r="E461" s="2">
        <v>52.375996000000001</v>
      </c>
      <c r="F461" s="8">
        <v>1195.420044</v>
      </c>
      <c r="G461" s="12">
        <f t="shared" si="60"/>
        <v>-5.7089119302448765E-3</v>
      </c>
      <c r="H461" s="3">
        <f t="shared" si="61"/>
        <v>-1.5712952162948376E-2</v>
      </c>
      <c r="I461" s="3">
        <f t="shared" si="62"/>
        <v>-5.107699142862622E-2</v>
      </c>
      <c r="J461" s="3">
        <f t="shared" si="63"/>
        <v>-4.9130870270451873E-3</v>
      </c>
      <c r="K461" s="14">
        <f t="shared" si="64"/>
        <v>-2.9068648732104279E-3</v>
      </c>
      <c r="L461" s="9">
        <v>0.2</v>
      </c>
      <c r="M461" s="2">
        <v>0.2</v>
      </c>
      <c r="N461" s="2">
        <v>0.1</v>
      </c>
      <c r="O461" s="2">
        <v>0.4</v>
      </c>
      <c r="P461" s="8">
        <v>0.1</v>
      </c>
      <c r="Q461" s="12">
        <f t="shared" si="57"/>
        <v>-5.202075776919782E-5</v>
      </c>
      <c r="R461" s="3">
        <f t="shared" si="58"/>
        <v>1.5531664415617519E-4</v>
      </c>
      <c r="S461" s="14">
        <f t="shared" si="59"/>
        <v>1.2462609845300269E-2</v>
      </c>
    </row>
    <row r="462" spans="1:19" x14ac:dyDescent="0.35">
      <c r="A462" s="4">
        <v>44106</v>
      </c>
      <c r="B462" s="2">
        <v>21.09</v>
      </c>
      <c r="C462" s="2">
        <v>13.132636</v>
      </c>
      <c r="D462" s="2">
        <v>38.939999</v>
      </c>
      <c r="E462" s="2">
        <v>51.562427999999997</v>
      </c>
      <c r="F462" s="8">
        <v>1195.3000489999999</v>
      </c>
      <c r="G462" s="12">
        <f t="shared" si="60"/>
        <v>6.1831827477665186E-3</v>
      </c>
      <c r="H462" s="3">
        <f t="shared" si="61"/>
        <v>1.5070779761072203E-3</v>
      </c>
      <c r="I462" s="3">
        <f t="shared" si="62"/>
        <v>-9.4569906090691686E-3</v>
      </c>
      <c r="J462" s="3">
        <f t="shared" si="63"/>
        <v>-1.5655127037642002E-2</v>
      </c>
      <c r="K462" s="14">
        <f t="shared" si="64"/>
        <v>-1.0038398092038606E-4</v>
      </c>
      <c r="L462" s="9">
        <v>0.1</v>
      </c>
      <c r="M462" s="2">
        <v>0.3</v>
      </c>
      <c r="N462" s="2">
        <v>0.1</v>
      </c>
      <c r="O462" s="2">
        <v>0.4</v>
      </c>
      <c r="P462" s="8">
        <v>0.1</v>
      </c>
      <c r="Q462" s="12">
        <f t="shared" si="57"/>
        <v>4.8235430980221022E-5</v>
      </c>
      <c r="R462" s="3">
        <f t="shared" si="58"/>
        <v>1.4369183754874319E-4</v>
      </c>
      <c r="S462" s="14">
        <f t="shared" si="59"/>
        <v>1.1987153020994734E-2</v>
      </c>
    </row>
    <row r="463" spans="1:19" x14ac:dyDescent="0.35">
      <c r="A463" s="4">
        <v>44109</v>
      </c>
      <c r="B463" s="2">
        <v>21.530000999999999</v>
      </c>
      <c r="C463" s="2">
        <v>12.776631</v>
      </c>
      <c r="D463" s="2">
        <v>39.470001000000003</v>
      </c>
      <c r="E463" s="2">
        <v>51.542583</v>
      </c>
      <c r="F463" s="8">
        <v>1196.910034</v>
      </c>
      <c r="G463" s="12">
        <f t="shared" si="60"/>
        <v>2.0648363332405613E-2</v>
      </c>
      <c r="H463" s="3">
        <f t="shared" si="61"/>
        <v>-2.74826306060451E-2</v>
      </c>
      <c r="I463" s="3">
        <f t="shared" si="62"/>
        <v>1.3518940746934336E-2</v>
      </c>
      <c r="J463" s="3">
        <f t="shared" si="63"/>
        <v>-3.8494734741957267E-4</v>
      </c>
      <c r="K463" s="14">
        <f t="shared" si="64"/>
        <v>1.3460232899436108E-3</v>
      </c>
      <c r="L463" s="9">
        <v>0</v>
      </c>
      <c r="M463" s="2">
        <v>0.4</v>
      </c>
      <c r="N463" s="2">
        <v>0.1</v>
      </c>
      <c r="O463" s="2">
        <v>0.4</v>
      </c>
      <c r="P463" s="8">
        <v>0.1</v>
      </c>
      <c r="Q463" s="12">
        <f t="shared" si="57"/>
        <v>1.4849161972963986E-4</v>
      </c>
      <c r="R463" s="3">
        <f t="shared" si="58"/>
        <v>1.5663501102244169E-4</v>
      </c>
      <c r="S463" s="14">
        <f t="shared" si="59"/>
        <v>1.2515390965624753E-2</v>
      </c>
    </row>
    <row r="464" spans="1:19" x14ac:dyDescent="0.35">
      <c r="A464" s="4">
        <v>44110</v>
      </c>
      <c r="B464" s="2">
        <v>21.27</v>
      </c>
      <c r="C464" s="2">
        <v>12.88541</v>
      </c>
      <c r="D464" s="2">
        <v>39.240001999999997</v>
      </c>
      <c r="E464" s="2">
        <v>51.899760999999998</v>
      </c>
      <c r="F464" s="8">
        <v>1197.160034</v>
      </c>
      <c r="G464" s="12">
        <f t="shared" si="60"/>
        <v>-1.2149728610943114E-2</v>
      </c>
      <c r="H464" s="3">
        <f t="shared" si="61"/>
        <v>8.4778643703913581E-3</v>
      </c>
      <c r="I464" s="3">
        <f t="shared" si="62"/>
        <v>-5.8442293448929686E-3</v>
      </c>
      <c r="J464" s="3">
        <f t="shared" si="63"/>
        <v>6.9058647687370361E-3</v>
      </c>
      <c r="K464" s="14">
        <f t="shared" si="64"/>
        <v>2.0884936013384239E-4</v>
      </c>
      <c r="L464" s="9">
        <v>0.3</v>
      </c>
      <c r="M464" s="2">
        <v>0</v>
      </c>
      <c r="N464" s="2">
        <v>0.2</v>
      </c>
      <c r="O464" s="2">
        <v>0.4</v>
      </c>
      <c r="P464" s="8">
        <v>0.1</v>
      </c>
      <c r="Q464" s="12">
        <f t="shared" si="57"/>
        <v>-1.0778321333604693E-4</v>
      </c>
      <c r="R464" s="3">
        <f t="shared" si="58"/>
        <v>1.9611403682429649E-4</v>
      </c>
      <c r="S464" s="14">
        <f t="shared" si="59"/>
        <v>1.4004072151495668E-2</v>
      </c>
    </row>
    <row r="465" spans="1:19" x14ac:dyDescent="0.35">
      <c r="A465" s="4">
        <v>44111</v>
      </c>
      <c r="B465" s="2">
        <v>21.41</v>
      </c>
      <c r="C465" s="2">
        <v>13.013968</v>
      </c>
      <c r="D465" s="2">
        <v>40.590000000000003</v>
      </c>
      <c r="E465" s="2">
        <v>51.949368</v>
      </c>
      <c r="F465" s="8">
        <v>1198.130005</v>
      </c>
      <c r="G465" s="12">
        <f t="shared" si="60"/>
        <v>6.5604733894455963E-3</v>
      </c>
      <c r="H465" s="3">
        <f t="shared" si="61"/>
        <v>9.9275786355856998E-3</v>
      </c>
      <c r="I465" s="3">
        <f t="shared" si="62"/>
        <v>3.3825045185245844E-2</v>
      </c>
      <c r="J465" s="3">
        <f t="shared" si="63"/>
        <v>9.5536677583744325E-4</v>
      </c>
      <c r="K465" s="14">
        <f t="shared" si="64"/>
        <v>8.0989862373805456E-4</v>
      </c>
      <c r="L465" s="9">
        <v>0.2</v>
      </c>
      <c r="M465" s="2">
        <v>0.1</v>
      </c>
      <c r="N465" s="2">
        <v>0.2</v>
      </c>
      <c r="O465" s="2">
        <v>0.4</v>
      </c>
      <c r="P465" s="8">
        <v>0.1</v>
      </c>
      <c r="Q465" s="12">
        <f t="shared" si="57"/>
        <v>-7.5270245866281682E-6</v>
      </c>
      <c r="R465" s="3">
        <f t="shared" si="58"/>
        <v>1.5562755817854313E-4</v>
      </c>
      <c r="S465" s="14">
        <f t="shared" si="59"/>
        <v>1.2475077481865318E-2</v>
      </c>
    </row>
    <row r="466" spans="1:19" x14ac:dyDescent="0.35">
      <c r="A466" s="4">
        <v>44112</v>
      </c>
      <c r="B466" s="2">
        <v>21.58</v>
      </c>
      <c r="C466" s="2">
        <v>13.340306</v>
      </c>
      <c r="D466" s="2">
        <v>41.549999</v>
      </c>
      <c r="E466" s="2">
        <v>52.772857999999999</v>
      </c>
      <c r="F466" s="8">
        <v>1205.469971</v>
      </c>
      <c r="G466" s="12">
        <f t="shared" si="60"/>
        <v>7.9088572283971242E-3</v>
      </c>
      <c r="H466" s="3">
        <f t="shared" si="61"/>
        <v>2.476673657578474E-2</v>
      </c>
      <c r="I466" s="3">
        <f t="shared" si="62"/>
        <v>2.3375766383261803E-2</v>
      </c>
      <c r="J466" s="3">
        <f t="shared" si="63"/>
        <v>1.5727453583913236E-2</v>
      </c>
      <c r="K466" s="14">
        <f t="shared" si="64"/>
        <v>6.1074961634713723E-3</v>
      </c>
      <c r="L466" s="9">
        <v>0.1</v>
      </c>
      <c r="M466" s="2">
        <v>0.2</v>
      </c>
      <c r="N466" s="2">
        <v>0.2</v>
      </c>
      <c r="O466" s="2">
        <v>0.4</v>
      </c>
      <c r="P466" s="8">
        <v>0.1</v>
      </c>
      <c r="Q466" s="12">
        <f t="shared" si="57"/>
        <v>9.2729164162790674E-5</v>
      </c>
      <c r="R466" s="3">
        <f t="shared" si="58"/>
        <v>1.3970905961392026E-4</v>
      </c>
      <c r="S466" s="14">
        <f t="shared" si="59"/>
        <v>1.1819858696867754E-2</v>
      </c>
    </row>
    <row r="467" spans="1:19" x14ac:dyDescent="0.35">
      <c r="A467" s="4">
        <v>44113</v>
      </c>
      <c r="B467" s="2">
        <v>21.58</v>
      </c>
      <c r="C467" s="2">
        <v>13.340306</v>
      </c>
      <c r="D467" s="2">
        <v>41.549999</v>
      </c>
      <c r="E467" s="2">
        <v>52.772857999999999</v>
      </c>
      <c r="F467" s="8">
        <v>1205.469971</v>
      </c>
      <c r="G467" s="12">
        <f t="shared" si="60"/>
        <v>0</v>
      </c>
      <c r="H467" s="3">
        <f t="shared" si="61"/>
        <v>0</v>
      </c>
      <c r="I467" s="3">
        <f t="shared" si="62"/>
        <v>0</v>
      </c>
      <c r="J467" s="3">
        <f t="shared" si="63"/>
        <v>0</v>
      </c>
      <c r="K467" s="14">
        <f t="shared" si="64"/>
        <v>0</v>
      </c>
      <c r="L467" s="9">
        <v>0</v>
      </c>
      <c r="M467" s="2">
        <v>0.3</v>
      </c>
      <c r="N467" s="2">
        <v>0.2</v>
      </c>
      <c r="O467" s="2">
        <v>0.4</v>
      </c>
      <c r="P467" s="8">
        <v>0.1</v>
      </c>
      <c r="Q467" s="12">
        <f t="shared" si="57"/>
        <v>1.9298535291220948E-4</v>
      </c>
      <c r="R467" s="3">
        <f t="shared" si="58"/>
        <v>1.4835854113042784E-4</v>
      </c>
      <c r="S467" s="14">
        <f t="shared" si="59"/>
        <v>1.2180252096341349E-2</v>
      </c>
    </row>
    <row r="468" spans="1:19" x14ac:dyDescent="0.35">
      <c r="A468" s="4">
        <v>44116</v>
      </c>
      <c r="B468" s="2">
        <v>22.4</v>
      </c>
      <c r="C468" s="2">
        <v>13.271083000000001</v>
      </c>
      <c r="D468" s="2">
        <v>40.590000000000003</v>
      </c>
      <c r="E468" s="2">
        <v>52.891917999999997</v>
      </c>
      <c r="F468" s="8">
        <v>1196.829956</v>
      </c>
      <c r="G468" s="12">
        <f t="shared" si="60"/>
        <v>3.7293999031005678E-2</v>
      </c>
      <c r="H468" s="3">
        <f t="shared" si="61"/>
        <v>-5.2025210810082824E-3</v>
      </c>
      <c r="I468" s="3">
        <f t="shared" si="62"/>
        <v>-2.3375766383261807E-2</v>
      </c>
      <c r="J468" s="3">
        <f t="shared" si="63"/>
        <v>2.2535428530455516E-3</v>
      </c>
      <c r="K468" s="14">
        <f t="shared" si="64"/>
        <v>-7.1931503279347468E-3</v>
      </c>
      <c r="L468" s="9">
        <v>0.2</v>
      </c>
      <c r="M468" s="2">
        <v>0</v>
      </c>
      <c r="N468" s="2">
        <v>0.3</v>
      </c>
      <c r="O468" s="2">
        <v>0.4</v>
      </c>
      <c r="P468" s="8">
        <v>0.1</v>
      </c>
      <c r="Q468" s="12">
        <f t="shared" si="57"/>
        <v>3.6966708595941443E-5</v>
      </c>
      <c r="R468" s="3">
        <f t="shared" si="58"/>
        <v>1.7013700617085186E-4</v>
      </c>
      <c r="S468" s="14">
        <f t="shared" si="59"/>
        <v>1.3043657699083179E-2</v>
      </c>
    </row>
    <row r="469" spans="1:19" x14ac:dyDescent="0.35">
      <c r="A469" s="4">
        <v>44117</v>
      </c>
      <c r="B469" s="2">
        <v>22.709999</v>
      </c>
      <c r="C469" s="2">
        <v>13.132636</v>
      </c>
      <c r="D469" s="2">
        <v>40.740001999999997</v>
      </c>
      <c r="E469" s="2">
        <v>51.71125</v>
      </c>
      <c r="F469" s="8">
        <v>1205.7299800000001</v>
      </c>
      <c r="G469" s="12">
        <f t="shared" si="60"/>
        <v>1.3744353223006489E-2</v>
      </c>
      <c r="H469" s="3">
        <f t="shared" si="61"/>
        <v>-1.048702789470822E-2</v>
      </c>
      <c r="I469" s="3">
        <f t="shared" si="62"/>
        <v>3.688729039653775E-3</v>
      </c>
      <c r="J469" s="3">
        <f t="shared" si="63"/>
        <v>-2.2575188974412869E-2</v>
      </c>
      <c r="K469" s="14">
        <f t="shared" si="64"/>
        <v>7.4088180504726705E-3</v>
      </c>
      <c r="L469" s="9">
        <v>0.1</v>
      </c>
      <c r="M469" s="2">
        <v>0.1</v>
      </c>
      <c r="N469" s="2">
        <v>0.3</v>
      </c>
      <c r="O469" s="2">
        <v>0.4</v>
      </c>
      <c r="P469" s="8">
        <v>0.1</v>
      </c>
      <c r="Q469" s="12">
        <f t="shared" si="57"/>
        <v>1.3722289734536026E-4</v>
      </c>
      <c r="R469" s="3">
        <f t="shared" si="58"/>
        <v>1.4992481564903809E-4</v>
      </c>
      <c r="S469" s="14">
        <f t="shared" si="59"/>
        <v>1.2244378940927877E-2</v>
      </c>
    </row>
    <row r="470" spans="1:19" x14ac:dyDescent="0.35">
      <c r="A470" s="4">
        <v>44118</v>
      </c>
      <c r="B470" s="2">
        <v>22.52</v>
      </c>
      <c r="C470" s="2">
        <v>12.746964</v>
      </c>
      <c r="D470" s="2">
        <v>41.349997999999999</v>
      </c>
      <c r="E470" s="2">
        <v>50.371837999999997</v>
      </c>
      <c r="F470" s="8">
        <v>1199.579956</v>
      </c>
      <c r="G470" s="12">
        <f t="shared" si="60"/>
        <v>-8.4015088125111003E-3</v>
      </c>
      <c r="H470" s="3">
        <f t="shared" si="61"/>
        <v>-2.9807304176543457E-2</v>
      </c>
      <c r="I470" s="3">
        <f t="shared" si="62"/>
        <v>1.4861913211645228E-2</v>
      </c>
      <c r="J470" s="3">
        <f t="shared" si="63"/>
        <v>-2.6243110323982279E-2</v>
      </c>
      <c r="K470" s="14">
        <f t="shared" si="64"/>
        <v>-5.1137172053611433E-3</v>
      </c>
      <c r="L470" s="9">
        <v>0</v>
      </c>
      <c r="M470" s="2">
        <v>0.2</v>
      </c>
      <c r="N470" s="2">
        <v>0.3</v>
      </c>
      <c r="O470" s="2">
        <v>0.4</v>
      </c>
      <c r="P470" s="8">
        <v>0.1</v>
      </c>
      <c r="Q470" s="12">
        <f t="shared" si="57"/>
        <v>2.3747908609477909E-4</v>
      </c>
      <c r="R470" s="3">
        <f t="shared" si="58"/>
        <v>1.5428060520835483E-4</v>
      </c>
      <c r="S470" s="14">
        <f t="shared" si="59"/>
        <v>1.2420974406557435E-2</v>
      </c>
    </row>
    <row r="471" spans="1:19" x14ac:dyDescent="0.35">
      <c r="A471" s="4">
        <v>44119</v>
      </c>
      <c r="B471" s="2">
        <v>22.379999000000002</v>
      </c>
      <c r="C471" s="2">
        <v>12.598628</v>
      </c>
      <c r="D471" s="2">
        <v>41.25</v>
      </c>
      <c r="E471" s="2">
        <v>50.312305000000002</v>
      </c>
      <c r="F471" s="8">
        <v>1199.150024</v>
      </c>
      <c r="G471" s="12">
        <f t="shared" si="60"/>
        <v>-6.2361450704637974E-3</v>
      </c>
      <c r="H471" s="3">
        <f t="shared" si="61"/>
        <v>-1.1705206463150238E-2</v>
      </c>
      <c r="I471" s="3">
        <f t="shared" si="62"/>
        <v>-2.4212603214154678E-3</v>
      </c>
      <c r="J471" s="3">
        <f t="shared" si="63"/>
        <v>-1.182569671133371E-3</v>
      </c>
      <c r="K471" s="14">
        <f t="shared" si="64"/>
        <v>-3.5846636194023814E-4</v>
      </c>
      <c r="L471" s="9">
        <v>0.1</v>
      </c>
      <c r="M471" s="2">
        <v>0</v>
      </c>
      <c r="N471" s="2">
        <v>0.4</v>
      </c>
      <c r="O471" s="2">
        <v>0.4</v>
      </c>
      <c r="P471" s="8">
        <v>0.1</v>
      </c>
      <c r="Q471" s="12">
        <f t="shared" si="57"/>
        <v>1.817166305279299E-4</v>
      </c>
      <c r="R471" s="3">
        <f t="shared" si="58"/>
        <v>1.7433910565409683E-4</v>
      </c>
      <c r="S471" s="14">
        <f t="shared" si="59"/>
        <v>1.3203753468392873E-2</v>
      </c>
    </row>
    <row r="472" spans="1:19" x14ac:dyDescent="0.35">
      <c r="A472" s="4">
        <v>44120</v>
      </c>
      <c r="B472" s="2">
        <v>22.040001</v>
      </c>
      <c r="C472" s="2">
        <v>12.915077999999999</v>
      </c>
      <c r="D472" s="2">
        <v>41.189999</v>
      </c>
      <c r="E472" s="2">
        <v>50.510738000000003</v>
      </c>
      <c r="F472" s="8">
        <v>1196.0699460000001</v>
      </c>
      <c r="G472" s="12">
        <f t="shared" si="60"/>
        <v>-1.5308628544262268E-2</v>
      </c>
      <c r="H472" s="3">
        <f t="shared" si="61"/>
        <v>2.4807546878814569E-2</v>
      </c>
      <c r="I472" s="3">
        <f t="shared" si="62"/>
        <v>-1.4556286104381963E-3</v>
      </c>
      <c r="J472" s="3">
        <f t="shared" si="63"/>
        <v>3.9362679464734571E-3</v>
      </c>
      <c r="K472" s="14">
        <f t="shared" si="64"/>
        <v>-2.5718553922620489E-3</v>
      </c>
      <c r="L472" s="9">
        <v>0</v>
      </c>
      <c r="M472" s="2">
        <v>0.1</v>
      </c>
      <c r="N472" s="2">
        <v>0.4</v>
      </c>
      <c r="O472" s="2">
        <v>0.4</v>
      </c>
      <c r="P472" s="8">
        <v>0.1</v>
      </c>
      <c r="Q472" s="12">
        <f t="shared" si="57"/>
        <v>2.8197281927734872E-4</v>
      </c>
      <c r="R472" s="3">
        <f t="shared" si="58"/>
        <v>1.7440120325622264E-4</v>
      </c>
      <c r="S472" s="14">
        <f t="shared" si="59"/>
        <v>1.3206104772271899E-2</v>
      </c>
    </row>
    <row r="473" spans="1:19" x14ac:dyDescent="0.35">
      <c r="A473" s="4">
        <v>44123</v>
      </c>
      <c r="B473" s="2">
        <v>22.040001</v>
      </c>
      <c r="C473" s="2">
        <v>12.915077999999999</v>
      </c>
      <c r="D473" s="2">
        <v>41.189999</v>
      </c>
      <c r="E473" s="2">
        <v>50.510738000000003</v>
      </c>
      <c r="F473" s="8">
        <v>1196.0699460000001</v>
      </c>
      <c r="G473" s="12">
        <f t="shared" si="60"/>
        <v>0</v>
      </c>
      <c r="H473" s="3">
        <f t="shared" si="61"/>
        <v>0</v>
      </c>
      <c r="I473" s="3">
        <f t="shared" si="62"/>
        <v>0</v>
      </c>
      <c r="J473" s="3">
        <f t="shared" si="63"/>
        <v>0</v>
      </c>
      <c r="K473" s="14">
        <f t="shared" si="64"/>
        <v>0</v>
      </c>
      <c r="L473" s="9">
        <v>0</v>
      </c>
      <c r="M473" s="2">
        <v>0</v>
      </c>
      <c r="N473" s="2">
        <v>0.5</v>
      </c>
      <c r="O473" s="2">
        <v>0.4</v>
      </c>
      <c r="P473" s="8">
        <v>0.1</v>
      </c>
      <c r="Q473" s="12">
        <f t="shared" si="57"/>
        <v>3.2646655245991834E-4</v>
      </c>
      <c r="R473" s="3">
        <f t="shared" si="58"/>
        <v>2.0872033527403127E-4</v>
      </c>
      <c r="S473" s="14">
        <f t="shared" si="59"/>
        <v>1.4447156650152004E-2</v>
      </c>
    </row>
    <row r="474" spans="1:19" x14ac:dyDescent="0.35">
      <c r="A474" s="4">
        <v>44124</v>
      </c>
      <c r="B474" s="2">
        <v>21.08</v>
      </c>
      <c r="C474" s="2">
        <v>13.063414</v>
      </c>
      <c r="D474" s="2">
        <v>41.400002000000001</v>
      </c>
      <c r="E474" s="2">
        <v>51.492977000000003</v>
      </c>
      <c r="F474" s="8">
        <v>1197.579956</v>
      </c>
      <c r="G474" s="12">
        <f t="shared" si="60"/>
        <v>-4.453430598360205E-2</v>
      </c>
      <c r="H474" s="3">
        <f t="shared" si="61"/>
        <v>1.1420032550486642E-2</v>
      </c>
      <c r="I474" s="3">
        <f t="shared" si="62"/>
        <v>5.0854449701944505E-3</v>
      </c>
      <c r="J474" s="3">
        <f t="shared" si="63"/>
        <v>1.9259482097216143E-2</v>
      </c>
      <c r="K474" s="14">
        <f t="shared" si="64"/>
        <v>1.2616800803205239E-3</v>
      </c>
      <c r="L474" s="9">
        <v>0.4</v>
      </c>
      <c r="M474" s="2">
        <v>0</v>
      </c>
      <c r="N474" s="2">
        <v>0</v>
      </c>
      <c r="O474" s="2">
        <v>0.5</v>
      </c>
      <c r="P474" s="8">
        <v>0.1</v>
      </c>
      <c r="Q474" s="12">
        <f t="shared" si="57"/>
        <v>-2.5473126333609263E-4</v>
      </c>
      <c r="R474" s="3">
        <f t="shared" si="58"/>
        <v>2.6595399942073728E-4</v>
      </c>
      <c r="S474" s="14">
        <f t="shared" si="59"/>
        <v>1.6308096131085852E-2</v>
      </c>
    </row>
    <row r="475" spans="1:19" x14ac:dyDescent="0.35">
      <c r="A475" s="4">
        <v>44125</v>
      </c>
      <c r="B475" s="2">
        <v>21.49</v>
      </c>
      <c r="C475" s="2">
        <v>13.725979000000001</v>
      </c>
      <c r="D475" s="2">
        <v>42.32</v>
      </c>
      <c r="E475" s="2">
        <v>51.651721999999999</v>
      </c>
      <c r="F475" s="8">
        <v>1198.0200199999999</v>
      </c>
      <c r="G475" s="12">
        <f t="shared" si="60"/>
        <v>1.9262986981257585E-2</v>
      </c>
      <c r="H475" s="3">
        <f t="shared" si="61"/>
        <v>4.9474815973079962E-2</v>
      </c>
      <c r="I475" s="3">
        <f t="shared" si="62"/>
        <v>2.1978858409597558E-2</v>
      </c>
      <c r="J475" s="3">
        <f t="shared" si="63"/>
        <v>3.0781053583538768E-3</v>
      </c>
      <c r="K475" s="14">
        <f t="shared" si="64"/>
        <v>3.6739356266373921E-4</v>
      </c>
      <c r="L475" s="9">
        <v>0.3</v>
      </c>
      <c r="M475" s="2">
        <v>0.1</v>
      </c>
      <c r="N475" s="2">
        <v>0</v>
      </c>
      <c r="O475" s="2">
        <v>0.5</v>
      </c>
      <c r="P475" s="8">
        <v>0.1</v>
      </c>
      <c r="Q475" s="12">
        <f t="shared" si="57"/>
        <v>-1.5447507458667375E-4</v>
      </c>
      <c r="R475" s="3">
        <f t="shared" si="58"/>
        <v>2.0385473854459734E-4</v>
      </c>
      <c r="S475" s="14">
        <f t="shared" si="59"/>
        <v>1.4277770783445059E-2</v>
      </c>
    </row>
    <row r="476" spans="1:19" x14ac:dyDescent="0.35">
      <c r="A476" s="4">
        <v>44126</v>
      </c>
      <c r="B476" s="2">
        <v>21.49</v>
      </c>
      <c r="C476" s="2">
        <v>13.735868</v>
      </c>
      <c r="D476" s="2">
        <v>41.310001</v>
      </c>
      <c r="E476" s="2">
        <v>52.792701999999998</v>
      </c>
      <c r="F476" s="8">
        <v>1213.1899410000001</v>
      </c>
      <c r="G476" s="12">
        <f t="shared" si="60"/>
        <v>0</v>
      </c>
      <c r="H476" s="3">
        <f t="shared" si="61"/>
        <v>7.2019922239314462E-4</v>
      </c>
      <c r="I476" s="3">
        <f t="shared" si="62"/>
        <v>-2.4155161934157367E-2</v>
      </c>
      <c r="J476" s="3">
        <f t="shared" si="63"/>
        <v>2.18494266651061E-2</v>
      </c>
      <c r="K476" s="14">
        <f t="shared" si="64"/>
        <v>1.2582994763233251E-2</v>
      </c>
      <c r="L476" s="9">
        <v>0.2</v>
      </c>
      <c r="M476" s="2">
        <v>0.2</v>
      </c>
      <c r="N476" s="2">
        <v>0</v>
      </c>
      <c r="O476" s="2">
        <v>0.5</v>
      </c>
      <c r="P476" s="8">
        <v>0.1</v>
      </c>
      <c r="Q476" s="12">
        <f t="shared" si="57"/>
        <v>-5.4218885837255032E-5</v>
      </c>
      <c r="R476" s="3">
        <f t="shared" si="58"/>
        <v>1.6632345774958792E-4</v>
      </c>
      <c r="S476" s="14">
        <f t="shared" si="59"/>
        <v>1.2896645212984186E-2</v>
      </c>
    </row>
    <row r="477" spans="1:19" x14ac:dyDescent="0.35">
      <c r="A477" s="4">
        <v>44127</v>
      </c>
      <c r="B477" s="2">
        <v>21.51</v>
      </c>
      <c r="C477" s="2">
        <v>13.755646</v>
      </c>
      <c r="D477" s="2">
        <v>41.290000999999997</v>
      </c>
      <c r="E477" s="2">
        <v>52.544662000000002</v>
      </c>
      <c r="F477" s="8">
        <v>1200.73999</v>
      </c>
      <c r="G477" s="12">
        <f t="shared" si="60"/>
        <v>9.3023262521984499E-4</v>
      </c>
      <c r="H477" s="3">
        <f t="shared" si="61"/>
        <v>1.4388442493313716E-3</v>
      </c>
      <c r="I477" s="3">
        <f t="shared" si="62"/>
        <v>-4.8426149894893272E-4</v>
      </c>
      <c r="J477" s="3">
        <f t="shared" si="63"/>
        <v>-4.7094487467494684E-3</v>
      </c>
      <c r="K477" s="14">
        <f t="shared" si="64"/>
        <v>-1.0315180430502389E-2</v>
      </c>
      <c r="L477" s="9">
        <v>0.1</v>
      </c>
      <c r="M477" s="2">
        <v>0.3</v>
      </c>
      <c r="N477" s="2">
        <v>0</v>
      </c>
      <c r="O477" s="2">
        <v>0.5</v>
      </c>
      <c r="P477" s="8">
        <v>0.1</v>
      </c>
      <c r="Q477" s="12">
        <f t="shared" si="57"/>
        <v>4.6037302912163797E-5</v>
      </c>
      <c r="R477" s="3">
        <f t="shared" si="58"/>
        <v>1.5336015703570896E-4</v>
      </c>
      <c r="S477" s="14">
        <f t="shared" si="59"/>
        <v>1.238386680466602E-2</v>
      </c>
    </row>
    <row r="478" spans="1:19" x14ac:dyDescent="0.35">
      <c r="A478" s="4">
        <v>44130</v>
      </c>
      <c r="B478" s="2">
        <v>21.5</v>
      </c>
      <c r="C478" s="2">
        <v>13.379861999999999</v>
      </c>
      <c r="D478" s="2">
        <v>42.400002000000001</v>
      </c>
      <c r="E478" s="2">
        <v>51.850150999999997</v>
      </c>
      <c r="F478" s="8">
        <v>1207.880005</v>
      </c>
      <c r="G478" s="12">
        <f t="shared" si="60"/>
        <v>-4.6500814602158739E-4</v>
      </c>
      <c r="H478" s="3">
        <f t="shared" si="61"/>
        <v>-2.7698617268275154E-2</v>
      </c>
      <c r="I478" s="3">
        <f t="shared" si="62"/>
        <v>2.6528045290784643E-2</v>
      </c>
      <c r="J478" s="3">
        <f t="shared" si="63"/>
        <v>-1.3305665797112353E-2</v>
      </c>
      <c r="K478" s="14">
        <f t="shared" si="64"/>
        <v>5.9287358977751069E-3</v>
      </c>
      <c r="L478" s="9">
        <v>0</v>
      </c>
      <c r="M478" s="2">
        <v>0.4</v>
      </c>
      <c r="N478" s="2">
        <v>0</v>
      </c>
      <c r="O478" s="2">
        <v>0.5</v>
      </c>
      <c r="P478" s="8">
        <v>0.1</v>
      </c>
      <c r="Q478" s="12">
        <f t="shared" si="57"/>
        <v>1.4629349166158263E-4</v>
      </c>
      <c r="R478" s="3">
        <f t="shared" si="58"/>
        <v>1.6496483640296051E-4</v>
      </c>
      <c r="S478" s="14">
        <f t="shared" si="59"/>
        <v>1.2843863764574914E-2</v>
      </c>
    </row>
    <row r="479" spans="1:19" x14ac:dyDescent="0.35">
      <c r="A479" s="4">
        <v>44131</v>
      </c>
      <c r="B479" s="2">
        <v>21.200001</v>
      </c>
      <c r="C479" s="2">
        <v>13.142526</v>
      </c>
      <c r="D479" s="2">
        <v>43.459999000000003</v>
      </c>
      <c r="E479" s="2">
        <v>51.661639999999998</v>
      </c>
      <c r="F479" s="8">
        <v>1212.23999</v>
      </c>
      <c r="G479" s="12">
        <f t="shared" si="60"/>
        <v>-1.405170628584012E-2</v>
      </c>
      <c r="H479" s="3">
        <f t="shared" si="61"/>
        <v>-1.7897508721411024E-2</v>
      </c>
      <c r="I479" s="3">
        <f t="shared" si="62"/>
        <v>2.4692542410896964E-2</v>
      </c>
      <c r="J479" s="3">
        <f t="shared" si="63"/>
        <v>-3.6423137226157996E-3</v>
      </c>
      <c r="K479" s="14">
        <f t="shared" si="64"/>
        <v>3.6031186271362576E-3</v>
      </c>
      <c r="L479" s="9">
        <v>0.3</v>
      </c>
      <c r="M479" s="2">
        <v>0</v>
      </c>
      <c r="N479" s="2">
        <v>0.1</v>
      </c>
      <c r="O479" s="2">
        <v>0.5</v>
      </c>
      <c r="P479" s="8">
        <v>0.1</v>
      </c>
      <c r="Q479" s="12">
        <f t="shared" si="57"/>
        <v>-1.0998134140410414E-4</v>
      </c>
      <c r="R479" s="3">
        <f t="shared" si="58"/>
        <v>2.0074230513851231E-4</v>
      </c>
      <c r="S479" s="14">
        <f t="shared" si="59"/>
        <v>1.4168355766937542E-2</v>
      </c>
    </row>
    <row r="480" spans="1:19" x14ac:dyDescent="0.35">
      <c r="A480" s="4">
        <v>44132</v>
      </c>
      <c r="B480" s="2">
        <v>19.700001</v>
      </c>
      <c r="C480" s="2">
        <v>13.023857</v>
      </c>
      <c r="D480" s="2">
        <v>42.779998999999997</v>
      </c>
      <c r="E480" s="2">
        <v>51.383839000000002</v>
      </c>
      <c r="F480" s="8">
        <v>1202.9499510000001</v>
      </c>
      <c r="G480" s="12">
        <f t="shared" si="60"/>
        <v>-7.3382542342414148E-2</v>
      </c>
      <c r="H480" s="3">
        <f t="shared" si="61"/>
        <v>-9.0704025539603134E-3</v>
      </c>
      <c r="I480" s="3">
        <f t="shared" si="62"/>
        <v>-1.5770271539769235E-2</v>
      </c>
      <c r="J480" s="3">
        <f t="shared" si="63"/>
        <v>-5.3918265160203174E-3</v>
      </c>
      <c r="K480" s="14">
        <f t="shared" si="64"/>
        <v>-7.6930469607574053E-3</v>
      </c>
      <c r="L480" s="9">
        <v>0.2</v>
      </c>
      <c r="M480" s="2">
        <v>0.1</v>
      </c>
      <c r="N480" s="2">
        <v>0.1</v>
      </c>
      <c r="O480" s="2">
        <v>0.5</v>
      </c>
      <c r="P480" s="8">
        <v>0.1</v>
      </c>
      <c r="Q480" s="12">
        <f t="shared" si="57"/>
        <v>-9.7251526546853937E-6</v>
      </c>
      <c r="R480" s="3">
        <f t="shared" si="58"/>
        <v>1.5891733238631201E-4</v>
      </c>
      <c r="S480" s="14">
        <f t="shared" si="59"/>
        <v>1.2606241802627458E-2</v>
      </c>
    </row>
    <row r="481" spans="1:19" x14ac:dyDescent="0.35">
      <c r="A481" s="4">
        <v>44133</v>
      </c>
      <c r="B481" s="2">
        <v>19.639999</v>
      </c>
      <c r="C481" s="2">
        <v>12.924967000000001</v>
      </c>
      <c r="D481" s="2">
        <v>40.650002000000001</v>
      </c>
      <c r="E481" s="2">
        <v>51.155642999999998</v>
      </c>
      <c r="F481" s="8">
        <v>1195.619995</v>
      </c>
      <c r="G481" s="12">
        <f t="shared" si="60"/>
        <v>-3.0504344955413236E-3</v>
      </c>
      <c r="H481" s="3">
        <f t="shared" si="61"/>
        <v>-7.6219622704328917E-3</v>
      </c>
      <c r="I481" s="3">
        <f t="shared" si="62"/>
        <v>-5.1071795084539726E-2</v>
      </c>
      <c r="J481" s="3">
        <f t="shared" si="63"/>
        <v>-4.4508977863332707E-3</v>
      </c>
      <c r="K481" s="14">
        <f t="shared" si="64"/>
        <v>-6.1119575273407695E-3</v>
      </c>
      <c r="L481" s="9">
        <v>0.1</v>
      </c>
      <c r="M481" s="2">
        <v>0.2</v>
      </c>
      <c r="N481" s="2">
        <v>0.1</v>
      </c>
      <c r="O481" s="2">
        <v>0.5</v>
      </c>
      <c r="P481" s="8">
        <v>0.1</v>
      </c>
      <c r="Q481" s="12">
        <f t="shared" si="57"/>
        <v>9.0531036094733435E-5</v>
      </c>
      <c r="R481" s="3">
        <f t="shared" si="58"/>
        <v>1.4166033971524221E-4</v>
      </c>
      <c r="S481" s="14">
        <f t="shared" si="59"/>
        <v>1.1902114926148302E-2</v>
      </c>
    </row>
    <row r="482" spans="1:19" x14ac:dyDescent="0.35">
      <c r="A482" s="4">
        <v>44134</v>
      </c>
      <c r="B482" s="2">
        <v>18.25</v>
      </c>
      <c r="C482" s="2">
        <v>12.915077999999999</v>
      </c>
      <c r="D482" s="2">
        <v>40.990001999999997</v>
      </c>
      <c r="E482" s="2">
        <v>50.848072000000002</v>
      </c>
      <c r="F482" s="8">
        <v>1201.829956</v>
      </c>
      <c r="G482" s="12">
        <f t="shared" si="60"/>
        <v>-7.3403171981321055E-2</v>
      </c>
      <c r="H482" s="3">
        <f t="shared" si="61"/>
        <v>-7.6540118121169872E-4</v>
      </c>
      <c r="I482" s="3">
        <f t="shared" si="62"/>
        <v>8.3292981143228521E-3</v>
      </c>
      <c r="J482" s="3">
        <f t="shared" si="63"/>
        <v>-6.0306025549930276E-3</v>
      </c>
      <c r="K482" s="14">
        <f t="shared" si="64"/>
        <v>5.1804834429809423E-3</v>
      </c>
      <c r="L482" s="9">
        <v>0</v>
      </c>
      <c r="M482" s="2">
        <v>0.3</v>
      </c>
      <c r="N482" s="2">
        <v>0.1</v>
      </c>
      <c r="O482" s="2">
        <v>0.5</v>
      </c>
      <c r="P482" s="8">
        <v>0.1</v>
      </c>
      <c r="Q482" s="12">
        <f t="shared" si="57"/>
        <v>1.9078722484415224E-4</v>
      </c>
      <c r="R482" s="3">
        <f t="shared" si="58"/>
        <v>1.4897132712530283E-4</v>
      </c>
      <c r="S482" s="14">
        <f t="shared" si="59"/>
        <v>1.2205381072514813E-2</v>
      </c>
    </row>
    <row r="483" spans="1:19" x14ac:dyDescent="0.35">
      <c r="A483" s="4">
        <v>44138</v>
      </c>
      <c r="B483" s="2">
        <v>18.969999000000001</v>
      </c>
      <c r="C483" s="2">
        <v>12.529406</v>
      </c>
      <c r="D483" s="2">
        <v>41.66</v>
      </c>
      <c r="E483" s="2">
        <v>52.07835</v>
      </c>
      <c r="F483" s="8">
        <v>1201.6099850000001</v>
      </c>
      <c r="G483" s="12">
        <f t="shared" si="60"/>
        <v>3.8693651203608119E-2</v>
      </c>
      <c r="H483" s="3">
        <f t="shared" si="61"/>
        <v>-3.0317104459325967E-2</v>
      </c>
      <c r="I483" s="3">
        <f t="shared" si="62"/>
        <v>1.621325252419252E-2</v>
      </c>
      <c r="J483" s="3">
        <f t="shared" si="63"/>
        <v>2.3907109032578804E-2</v>
      </c>
      <c r="K483" s="14">
        <f t="shared" si="64"/>
        <v>-1.8304680459178984E-4</v>
      </c>
      <c r="L483" s="9">
        <v>0.2</v>
      </c>
      <c r="M483" s="2">
        <v>0</v>
      </c>
      <c r="N483" s="2">
        <v>0.2</v>
      </c>
      <c r="O483" s="2">
        <v>0.5</v>
      </c>
      <c r="P483" s="8">
        <v>0.1</v>
      </c>
      <c r="Q483" s="12">
        <f t="shared" si="57"/>
        <v>3.4768580527884244E-5</v>
      </c>
      <c r="R483" s="3">
        <f t="shared" si="58"/>
        <v>1.6570974099297693E-4</v>
      </c>
      <c r="S483" s="14">
        <f t="shared" si="59"/>
        <v>1.2872829564356741E-2</v>
      </c>
    </row>
    <row r="484" spans="1:19" x14ac:dyDescent="0.35">
      <c r="A484" s="4">
        <v>44139</v>
      </c>
      <c r="B484" s="2">
        <v>19.52</v>
      </c>
      <c r="C484" s="2">
        <v>12.855743</v>
      </c>
      <c r="D484" s="2">
        <v>42.049999</v>
      </c>
      <c r="E484" s="2">
        <v>53.030819000000001</v>
      </c>
      <c r="F484" s="8">
        <v>1201.0500489999999</v>
      </c>
      <c r="G484" s="12">
        <f t="shared" si="60"/>
        <v>2.8580849752837735E-2</v>
      </c>
      <c r="H484" s="3">
        <f t="shared" si="61"/>
        <v>2.5712276010351989E-2</v>
      </c>
      <c r="I484" s="3">
        <f t="shared" si="62"/>
        <v>9.3179268049181415E-3</v>
      </c>
      <c r="J484" s="3">
        <f t="shared" si="63"/>
        <v>1.8123919747253976E-2</v>
      </c>
      <c r="K484" s="14">
        <f t="shared" si="64"/>
        <v>-4.6609674461927557E-4</v>
      </c>
      <c r="L484" s="9">
        <v>0.1</v>
      </c>
      <c r="M484" s="2">
        <v>0.1</v>
      </c>
      <c r="N484" s="2">
        <v>0.2</v>
      </c>
      <c r="O484" s="2">
        <v>0.5</v>
      </c>
      <c r="P484" s="8">
        <v>0.1</v>
      </c>
      <c r="Q484" s="12">
        <f t="shared" si="57"/>
        <v>1.3502476927730302E-4</v>
      </c>
      <c r="R484" s="3">
        <f t="shared" si="58"/>
        <v>1.4415905636471621E-4</v>
      </c>
      <c r="S484" s="14">
        <f t="shared" si="59"/>
        <v>1.2006625519467001E-2</v>
      </c>
    </row>
    <row r="485" spans="1:19" x14ac:dyDescent="0.35">
      <c r="A485" s="4">
        <v>44140</v>
      </c>
      <c r="B485" s="2">
        <v>19.379999000000002</v>
      </c>
      <c r="C485" s="2">
        <v>13.033747</v>
      </c>
      <c r="D485" s="2">
        <v>42.34</v>
      </c>
      <c r="E485" s="2">
        <v>54.042819999999999</v>
      </c>
      <c r="F485" s="8">
        <v>1199.8100589999999</v>
      </c>
      <c r="G485" s="12">
        <f t="shared" si="60"/>
        <v>-7.1980261219146942E-3</v>
      </c>
      <c r="H485" s="3">
        <f t="shared" si="61"/>
        <v>1.3751279380411187E-2</v>
      </c>
      <c r="I485" s="3">
        <f t="shared" si="62"/>
        <v>6.8729030689752045E-3</v>
      </c>
      <c r="J485" s="3">
        <f t="shared" si="63"/>
        <v>1.8903460180178903E-2</v>
      </c>
      <c r="K485" s="14">
        <f t="shared" si="64"/>
        <v>-1.0329549032228249E-3</v>
      </c>
      <c r="L485" s="9">
        <v>0</v>
      </c>
      <c r="M485" s="2">
        <v>0.2</v>
      </c>
      <c r="N485" s="2">
        <v>0.2</v>
      </c>
      <c r="O485" s="2">
        <v>0.5</v>
      </c>
      <c r="P485" s="8">
        <v>0.1</v>
      </c>
      <c r="Q485" s="12">
        <f t="shared" si="57"/>
        <v>2.3528095802672185E-4</v>
      </c>
      <c r="R485" s="3">
        <f t="shared" si="58"/>
        <v>1.47176351817586E-4</v>
      </c>
      <c r="S485" s="14">
        <f t="shared" si="59"/>
        <v>1.213162609948007E-2</v>
      </c>
    </row>
    <row r="486" spans="1:19" x14ac:dyDescent="0.35">
      <c r="A486" s="4">
        <v>44141</v>
      </c>
      <c r="B486" s="2">
        <v>19.549999</v>
      </c>
      <c r="C486" s="2">
        <v>12.905189</v>
      </c>
      <c r="D486" s="2">
        <v>41.790000999999997</v>
      </c>
      <c r="E486" s="2">
        <v>53.655880000000003</v>
      </c>
      <c r="F486" s="8">
        <v>1204.1999510000001</v>
      </c>
      <c r="G486" s="12">
        <f t="shared" si="60"/>
        <v>8.7336804174466716E-3</v>
      </c>
      <c r="H486" s="3">
        <f t="shared" si="61"/>
        <v>-9.912438400390855E-3</v>
      </c>
      <c r="I486" s="3">
        <f t="shared" si="62"/>
        <v>-1.3075165317725825E-2</v>
      </c>
      <c r="J486" s="3">
        <f t="shared" si="63"/>
        <v>-7.1856329726357939E-3</v>
      </c>
      <c r="K486" s="14">
        <f t="shared" si="64"/>
        <v>3.6521452582673952E-3</v>
      </c>
      <c r="L486" s="9">
        <v>0.1</v>
      </c>
      <c r="M486" s="2">
        <v>0</v>
      </c>
      <c r="N486" s="2">
        <v>0.3</v>
      </c>
      <c r="O486" s="2">
        <v>0.5</v>
      </c>
      <c r="P486" s="8">
        <v>0.1</v>
      </c>
      <c r="Q486" s="12">
        <f t="shared" si="57"/>
        <v>1.7951850245987266E-4</v>
      </c>
      <c r="R486" s="3">
        <f t="shared" si="58"/>
        <v>1.6085630698413103E-4</v>
      </c>
      <c r="S486" s="14">
        <f t="shared" si="59"/>
        <v>1.2682913978425109E-2</v>
      </c>
    </row>
    <row r="487" spans="1:19" x14ac:dyDescent="0.35">
      <c r="A487" s="4">
        <v>44144</v>
      </c>
      <c r="B487" s="2">
        <v>21.59</v>
      </c>
      <c r="C487" s="2">
        <v>12.974411999999999</v>
      </c>
      <c r="D487" s="2">
        <v>41.169998</v>
      </c>
      <c r="E487" s="2">
        <v>52.891917999999997</v>
      </c>
      <c r="F487" s="8">
        <v>1201.469971</v>
      </c>
      <c r="G487" s="12">
        <f t="shared" si="60"/>
        <v>9.9255009246237619E-2</v>
      </c>
      <c r="H487" s="3">
        <f t="shared" si="61"/>
        <v>5.3496315564104113E-3</v>
      </c>
      <c r="I487" s="3">
        <f t="shared" si="62"/>
        <v>-1.4947313186243627E-2</v>
      </c>
      <c r="J487" s="3">
        <f t="shared" si="63"/>
        <v>-1.4340513961172535E-2</v>
      </c>
      <c r="K487" s="14">
        <f t="shared" si="64"/>
        <v>-2.269622400746147E-3</v>
      </c>
      <c r="L487" s="9">
        <v>0</v>
      </c>
      <c r="M487" s="2">
        <v>0.1</v>
      </c>
      <c r="N487" s="2">
        <v>0.3</v>
      </c>
      <c r="O487" s="2">
        <v>0.5</v>
      </c>
      <c r="P487" s="8">
        <v>0.1</v>
      </c>
      <c r="Q487" s="12">
        <f t="shared" si="57"/>
        <v>2.7977469120929146E-4</v>
      </c>
      <c r="R487" s="3">
        <f t="shared" si="58"/>
        <v>1.5957991047980995E-4</v>
      </c>
      <c r="S487" s="14">
        <f t="shared" si="59"/>
        <v>1.2632494230349364E-2</v>
      </c>
    </row>
    <row r="488" spans="1:19" x14ac:dyDescent="0.35">
      <c r="A488" s="4">
        <v>44145</v>
      </c>
      <c r="B488" s="2">
        <v>21.67</v>
      </c>
      <c r="C488" s="2">
        <v>13.350194999999999</v>
      </c>
      <c r="D488" s="2">
        <v>42.939999</v>
      </c>
      <c r="E488" s="2">
        <v>53.199486</v>
      </c>
      <c r="F488" s="8">
        <v>1204.48999</v>
      </c>
      <c r="G488" s="12">
        <f t="shared" si="60"/>
        <v>3.698571021551808E-3</v>
      </c>
      <c r="H488" s="3">
        <f t="shared" si="61"/>
        <v>2.8551881375164803E-2</v>
      </c>
      <c r="I488" s="3">
        <f t="shared" si="62"/>
        <v>4.2093981959575831E-2</v>
      </c>
      <c r="J488" s="3">
        <f t="shared" si="63"/>
        <v>5.7981862823869778E-3</v>
      </c>
      <c r="K488" s="14">
        <f t="shared" si="64"/>
        <v>2.5104495794251633E-3</v>
      </c>
      <c r="L488" s="9">
        <v>0</v>
      </c>
      <c r="M488" s="2">
        <v>0</v>
      </c>
      <c r="N488" s="2">
        <v>0.4</v>
      </c>
      <c r="O488" s="2">
        <v>0.5</v>
      </c>
      <c r="P488" s="8">
        <v>0.1</v>
      </c>
      <c r="Q488" s="12">
        <f t="shared" si="57"/>
        <v>3.2426842439186112E-4</v>
      </c>
      <c r="R488" s="3">
        <f t="shared" si="58"/>
        <v>1.8618200311197472E-4</v>
      </c>
      <c r="S488" s="14">
        <f t="shared" si="59"/>
        <v>1.3644852623314578E-2</v>
      </c>
    </row>
    <row r="489" spans="1:19" x14ac:dyDescent="0.35">
      <c r="A489" s="4">
        <v>44146</v>
      </c>
      <c r="B489" s="2">
        <v>21.15</v>
      </c>
      <c r="C489" s="2">
        <v>13.211748</v>
      </c>
      <c r="D489" s="2">
        <v>43.02</v>
      </c>
      <c r="E489" s="2">
        <v>53.278858</v>
      </c>
      <c r="F489" s="8">
        <v>1225.839966</v>
      </c>
      <c r="G489" s="12">
        <f t="shared" si="60"/>
        <v>-2.4288910055980831E-2</v>
      </c>
      <c r="H489" s="3">
        <f t="shared" si="61"/>
        <v>-1.0424557703996005E-2</v>
      </c>
      <c r="I489" s="3">
        <f t="shared" si="62"/>
        <v>1.8613546772587035E-3</v>
      </c>
      <c r="J489" s="3">
        <f t="shared" si="63"/>
        <v>1.4908574217003903E-3</v>
      </c>
      <c r="K489" s="14">
        <f t="shared" si="64"/>
        <v>1.7570063015726875E-2</v>
      </c>
      <c r="L489" s="9">
        <v>0.3</v>
      </c>
      <c r="M489" s="2">
        <v>0</v>
      </c>
      <c r="N489" s="2">
        <v>0</v>
      </c>
      <c r="O489" s="2">
        <v>0.6</v>
      </c>
      <c r="P489" s="8">
        <v>0.1</v>
      </c>
      <c r="Q489" s="12">
        <f t="shared" si="57"/>
        <v>-1.1217946947216138E-4</v>
      </c>
      <c r="R489" s="3">
        <f t="shared" si="58"/>
        <v>2.1708045776437334E-4</v>
      </c>
      <c r="S489" s="14">
        <f t="shared" si="59"/>
        <v>1.4733650524034202E-2</v>
      </c>
    </row>
    <row r="490" spans="1:19" x14ac:dyDescent="0.35">
      <c r="A490" s="4">
        <v>44147</v>
      </c>
      <c r="B490" s="2">
        <v>20.73</v>
      </c>
      <c r="C490" s="2">
        <v>13.538086</v>
      </c>
      <c r="D490" s="2">
        <v>43.73</v>
      </c>
      <c r="E490" s="2">
        <v>53.993209999999998</v>
      </c>
      <c r="F490" s="8">
        <v>1225.0600589999999</v>
      </c>
      <c r="G490" s="12">
        <f t="shared" si="60"/>
        <v>-2.0057979044598672E-2</v>
      </c>
      <c r="H490" s="3">
        <f t="shared" si="61"/>
        <v>2.4400464778370202E-2</v>
      </c>
      <c r="I490" s="3">
        <f t="shared" si="62"/>
        <v>1.6369241585245161E-2</v>
      </c>
      <c r="J490" s="3">
        <f t="shared" si="63"/>
        <v>1.3318705849014094E-2</v>
      </c>
      <c r="K490" s="14">
        <f t="shared" si="64"/>
        <v>-6.3642500172924243E-4</v>
      </c>
      <c r="L490" s="9">
        <v>0.2</v>
      </c>
      <c r="M490" s="2">
        <v>0.1</v>
      </c>
      <c r="N490" s="2">
        <v>0</v>
      </c>
      <c r="O490" s="2">
        <v>0.6</v>
      </c>
      <c r="P490" s="8">
        <v>0.1</v>
      </c>
      <c r="Q490" s="12">
        <f t="shared" si="57"/>
        <v>-1.1923280722742606E-5</v>
      </c>
      <c r="R490" s="3">
        <f t="shared" si="58"/>
        <v>1.739169909057261E-4</v>
      </c>
      <c r="S490" s="14">
        <f t="shared" si="59"/>
        <v>1.3187759131320457E-2</v>
      </c>
    </row>
    <row r="491" spans="1:19" x14ac:dyDescent="0.35">
      <c r="A491" s="4">
        <v>44148</v>
      </c>
      <c r="B491" s="2">
        <v>20.940000999999999</v>
      </c>
      <c r="C491" s="2">
        <v>13.706200000000001</v>
      </c>
      <c r="D491" s="2">
        <v>43.490001999999997</v>
      </c>
      <c r="E491" s="2">
        <v>55.28302</v>
      </c>
      <c r="F491" s="8">
        <v>1222.030029</v>
      </c>
      <c r="G491" s="12">
        <f t="shared" si="60"/>
        <v>1.0079326750193225E-2</v>
      </c>
      <c r="H491" s="3">
        <f t="shared" si="61"/>
        <v>1.2341386651063E-2</v>
      </c>
      <c r="I491" s="3">
        <f t="shared" si="62"/>
        <v>-5.503292827699866E-3</v>
      </c>
      <c r="J491" s="3">
        <f t="shared" si="63"/>
        <v>2.3607511019302797E-2</v>
      </c>
      <c r="K491" s="14">
        <f t="shared" si="64"/>
        <v>-2.4764364527402145E-3</v>
      </c>
      <c r="L491" s="9">
        <v>0.1</v>
      </c>
      <c r="M491" s="2">
        <v>0.2</v>
      </c>
      <c r="N491" s="2">
        <v>0</v>
      </c>
      <c r="O491" s="2">
        <v>0.6</v>
      </c>
      <c r="P491" s="8">
        <v>0.1</v>
      </c>
      <c r="Q491" s="12">
        <f t="shared" si="57"/>
        <v>8.8332908026676223E-5</v>
      </c>
      <c r="R491" s="3">
        <f t="shared" si="58"/>
        <v>1.5532150412820932E-4</v>
      </c>
      <c r="S491" s="14">
        <f t="shared" si="59"/>
        <v>1.2462804825889288E-2</v>
      </c>
    </row>
    <row r="492" spans="1:19" x14ac:dyDescent="0.35">
      <c r="A492" s="4">
        <v>44152</v>
      </c>
      <c r="B492" s="2">
        <v>22.09</v>
      </c>
      <c r="C492" s="2">
        <v>13.72</v>
      </c>
      <c r="D492" s="2">
        <v>45.09</v>
      </c>
      <c r="E492" s="2">
        <v>56.602584999999998</v>
      </c>
      <c r="F492" s="8">
        <v>1218.400024</v>
      </c>
      <c r="G492" s="12">
        <f t="shared" si="60"/>
        <v>5.346376423414434E-2</v>
      </c>
      <c r="H492" s="3">
        <f t="shared" si="61"/>
        <v>1.006337091147872E-3</v>
      </c>
      <c r="I492" s="3">
        <f t="shared" si="62"/>
        <v>3.6129419835863576E-2</v>
      </c>
      <c r="J492" s="3">
        <f t="shared" si="63"/>
        <v>2.3588846607516721E-2</v>
      </c>
      <c r="K492" s="14">
        <f t="shared" si="64"/>
        <v>-2.9748918004515582E-3</v>
      </c>
      <c r="L492" s="9">
        <v>0</v>
      </c>
      <c r="M492" s="2">
        <v>0.3</v>
      </c>
      <c r="N492" s="2">
        <v>0</v>
      </c>
      <c r="O492" s="2">
        <v>0.6</v>
      </c>
      <c r="P492" s="8">
        <v>0.1</v>
      </c>
      <c r="Q492" s="12">
        <f t="shared" si="57"/>
        <v>1.8858909677609502E-4</v>
      </c>
      <c r="R492" s="3">
        <f t="shared" si="58"/>
        <v>1.6129399743182305E-4</v>
      </c>
      <c r="S492" s="14">
        <f t="shared" si="59"/>
        <v>1.2700157378230518E-2</v>
      </c>
    </row>
    <row r="493" spans="1:19" x14ac:dyDescent="0.35">
      <c r="A493" s="4">
        <v>44153</v>
      </c>
      <c r="B493" s="2">
        <v>22.809999000000001</v>
      </c>
      <c r="C493" s="2">
        <v>13.39</v>
      </c>
      <c r="D493" s="2">
        <v>44.759998000000003</v>
      </c>
      <c r="E493" s="2">
        <v>57.019295</v>
      </c>
      <c r="F493" s="8">
        <v>1223.0699460000001</v>
      </c>
      <c r="G493" s="12">
        <f t="shared" si="60"/>
        <v>3.2073975023849191E-2</v>
      </c>
      <c r="H493" s="3">
        <f t="shared" si="61"/>
        <v>-2.4346462594658062E-2</v>
      </c>
      <c r="I493" s="3">
        <f t="shared" si="62"/>
        <v>-7.3456536720217539E-3</v>
      </c>
      <c r="J493" s="3">
        <f t="shared" si="63"/>
        <v>7.3350637809885951E-3</v>
      </c>
      <c r="K493" s="14">
        <f t="shared" si="64"/>
        <v>3.8255049232970872E-3</v>
      </c>
      <c r="L493" s="9">
        <v>0.2</v>
      </c>
      <c r="M493" s="2">
        <v>0</v>
      </c>
      <c r="N493" s="2">
        <v>0.1</v>
      </c>
      <c r="O493" s="2">
        <v>0.6</v>
      </c>
      <c r="P493" s="8">
        <v>0.1</v>
      </c>
      <c r="Q493" s="12">
        <f t="shared" si="57"/>
        <v>3.2570452459827005E-5</v>
      </c>
      <c r="R493" s="3">
        <f t="shared" si="58"/>
        <v>1.7299236012674718E-4</v>
      </c>
      <c r="S493" s="14">
        <f t="shared" si="59"/>
        <v>1.3152656010355748E-2</v>
      </c>
    </row>
    <row r="494" spans="1:19" x14ac:dyDescent="0.35">
      <c r="A494" s="4">
        <v>44154</v>
      </c>
      <c r="B494" s="2">
        <v>23.57</v>
      </c>
      <c r="C494" s="2">
        <v>13.2</v>
      </c>
      <c r="D494" s="2">
        <v>43.150002000000001</v>
      </c>
      <c r="E494" s="2">
        <v>56.076743999999998</v>
      </c>
      <c r="F494" s="8">
        <v>1232.650024</v>
      </c>
      <c r="G494" s="12">
        <f t="shared" si="60"/>
        <v>3.2775724492164905E-2</v>
      </c>
      <c r="H494" s="3">
        <f t="shared" si="61"/>
        <v>-1.4291330110756065E-2</v>
      </c>
      <c r="I494" s="3">
        <f t="shared" si="62"/>
        <v>-3.663237488159312E-2</v>
      </c>
      <c r="J494" s="3">
        <f t="shared" si="63"/>
        <v>-1.6668538198927489E-2</v>
      </c>
      <c r="K494" s="14">
        <f t="shared" si="64"/>
        <v>7.8022956335206889E-3</v>
      </c>
      <c r="L494" s="9">
        <v>0.1</v>
      </c>
      <c r="M494" s="2">
        <v>0.1</v>
      </c>
      <c r="N494" s="2">
        <v>0.1</v>
      </c>
      <c r="O494" s="2">
        <v>0.6</v>
      </c>
      <c r="P494" s="8">
        <v>0.1</v>
      </c>
      <c r="Q494" s="12">
        <f t="shared" si="57"/>
        <v>1.3282664120924581E-4</v>
      </c>
      <c r="R494" s="3">
        <f t="shared" si="58"/>
        <v>1.5010318139203953E-4</v>
      </c>
      <c r="S494" s="14">
        <f t="shared" si="59"/>
        <v>1.2251660352459968E-2</v>
      </c>
    </row>
    <row r="495" spans="1:19" x14ac:dyDescent="0.35">
      <c r="A495" s="4">
        <v>44155</v>
      </c>
      <c r="B495" s="2">
        <v>24.15</v>
      </c>
      <c r="C495" s="2">
        <v>13.25</v>
      </c>
      <c r="D495" s="2">
        <v>41.91</v>
      </c>
      <c r="E495" s="2">
        <v>56.93</v>
      </c>
      <c r="F495" s="8">
        <v>1241.6999510000001</v>
      </c>
      <c r="G495" s="12">
        <f t="shared" si="60"/>
        <v>2.4309663150541918E-2</v>
      </c>
      <c r="H495" s="3">
        <f t="shared" si="61"/>
        <v>3.7807228399061523E-3</v>
      </c>
      <c r="I495" s="3">
        <f t="shared" si="62"/>
        <v>-2.9158001942397888E-2</v>
      </c>
      <c r="J495" s="3">
        <f t="shared" si="63"/>
        <v>1.5101261836605906E-2</v>
      </c>
      <c r="K495" s="14">
        <f t="shared" si="64"/>
        <v>7.3150261250336541E-3</v>
      </c>
      <c r="L495" s="9">
        <v>0</v>
      </c>
      <c r="M495" s="2">
        <v>0.2</v>
      </c>
      <c r="N495" s="2">
        <v>0.1</v>
      </c>
      <c r="O495" s="2">
        <v>0.6</v>
      </c>
      <c r="P495" s="8">
        <v>0.1</v>
      </c>
      <c r="Q495" s="12">
        <f t="shared" si="57"/>
        <v>2.3308282995866464E-4</v>
      </c>
      <c r="R495" s="3">
        <f t="shared" si="58"/>
        <v>1.5178198273846236E-4</v>
      </c>
      <c r="S495" s="14">
        <f t="shared" si="59"/>
        <v>1.231998306567271E-2</v>
      </c>
    </row>
    <row r="496" spans="1:19" x14ac:dyDescent="0.35">
      <c r="A496" s="4">
        <v>44158</v>
      </c>
      <c r="B496" s="2">
        <v>24.34</v>
      </c>
      <c r="C496" s="2">
        <v>13.59</v>
      </c>
      <c r="D496" s="2">
        <v>42.73</v>
      </c>
      <c r="E496" s="2">
        <v>56.77</v>
      </c>
      <c r="F496" s="8">
        <v>1252.26001</v>
      </c>
      <c r="G496" s="12">
        <f t="shared" si="60"/>
        <v>7.8367074607995739E-3</v>
      </c>
      <c r="H496" s="3">
        <f t="shared" si="61"/>
        <v>2.5336675730821035E-2</v>
      </c>
      <c r="I496" s="3">
        <f t="shared" si="62"/>
        <v>1.9376787718953455E-2</v>
      </c>
      <c r="J496" s="3">
        <f t="shared" si="63"/>
        <v>-2.8144257803556501E-3</v>
      </c>
      <c r="K496" s="14">
        <f t="shared" si="64"/>
        <v>8.4685578565088394E-3</v>
      </c>
      <c r="L496" s="9">
        <v>0.1</v>
      </c>
      <c r="M496" s="2">
        <v>0</v>
      </c>
      <c r="N496" s="2">
        <v>0.2</v>
      </c>
      <c r="O496" s="2">
        <v>0.6</v>
      </c>
      <c r="P496" s="8">
        <v>0.1</v>
      </c>
      <c r="Q496" s="12">
        <f t="shared" si="57"/>
        <v>1.7732037439181545E-4</v>
      </c>
      <c r="R496" s="3">
        <f t="shared" si="58"/>
        <v>1.5908339262581052E-4</v>
      </c>
      <c r="S496" s="14">
        <f t="shared" si="59"/>
        <v>1.2612826512158585E-2</v>
      </c>
    </row>
    <row r="497" spans="1:19" x14ac:dyDescent="0.35">
      <c r="A497" s="4">
        <v>44159</v>
      </c>
      <c r="B497" s="2">
        <v>25.48</v>
      </c>
      <c r="C497" s="2">
        <v>13.65</v>
      </c>
      <c r="D497" s="2">
        <v>42.810001</v>
      </c>
      <c r="E497" s="2">
        <v>54.290000999999997</v>
      </c>
      <c r="F497" s="8">
        <v>1266.160034</v>
      </c>
      <c r="G497" s="12">
        <f t="shared" si="60"/>
        <v>4.5772743144581435E-2</v>
      </c>
      <c r="H497" s="3">
        <f t="shared" si="61"/>
        <v>4.4052934679164176E-3</v>
      </c>
      <c r="I497" s="3">
        <f t="shared" si="62"/>
        <v>1.8704938599492828E-3</v>
      </c>
      <c r="J497" s="3">
        <f t="shared" si="63"/>
        <v>-4.4667950845676943E-2</v>
      </c>
      <c r="K497" s="14">
        <f t="shared" si="64"/>
        <v>1.1038798060597143E-2</v>
      </c>
      <c r="L497" s="9">
        <v>0</v>
      </c>
      <c r="M497" s="2">
        <v>0.1</v>
      </c>
      <c r="N497" s="2">
        <v>0.2</v>
      </c>
      <c r="O497" s="2">
        <v>0.6</v>
      </c>
      <c r="P497" s="8">
        <v>0.1</v>
      </c>
      <c r="Q497" s="12">
        <f t="shared" si="57"/>
        <v>2.7757656314123425E-4</v>
      </c>
      <c r="R497" s="3">
        <f t="shared" si="58"/>
        <v>1.5646850201504246E-4</v>
      </c>
      <c r="S497" s="14">
        <f t="shared" si="59"/>
        <v>1.2508737027175943E-2</v>
      </c>
    </row>
    <row r="498" spans="1:19" x14ac:dyDescent="0.35">
      <c r="A498" s="4">
        <v>44160</v>
      </c>
      <c r="B498" s="2">
        <v>26.5</v>
      </c>
      <c r="C498" s="2">
        <v>13.28</v>
      </c>
      <c r="D498" s="2">
        <v>42.5</v>
      </c>
      <c r="E498" s="2">
        <v>53.09</v>
      </c>
      <c r="F498" s="8">
        <v>1269.9300539999999</v>
      </c>
      <c r="G498" s="12">
        <f t="shared" si="60"/>
        <v>3.9250902288213915E-2</v>
      </c>
      <c r="H498" s="3">
        <f t="shared" si="61"/>
        <v>-2.7480377582681074E-2</v>
      </c>
      <c r="I498" s="3">
        <f t="shared" si="62"/>
        <v>-7.2676675855116307E-3</v>
      </c>
      <c r="J498" s="3">
        <f t="shared" si="63"/>
        <v>-2.2351479741377762E-2</v>
      </c>
      <c r="K498" s="14">
        <f t="shared" si="64"/>
        <v>2.9730984674959096E-3</v>
      </c>
      <c r="L498" s="9">
        <v>0</v>
      </c>
      <c r="M498" s="2">
        <v>0</v>
      </c>
      <c r="N498" s="2">
        <v>0.3</v>
      </c>
      <c r="O498" s="2">
        <v>0.6</v>
      </c>
      <c r="P498" s="8">
        <v>0.1</v>
      </c>
      <c r="Q498" s="12">
        <f t="shared" si="57"/>
        <v>3.2207029632380386E-4</v>
      </c>
      <c r="R498" s="3">
        <f t="shared" si="58"/>
        <v>1.753535552615634E-4</v>
      </c>
      <c r="S498" s="14">
        <f t="shared" si="59"/>
        <v>1.3242112945506975E-2</v>
      </c>
    </row>
    <row r="499" spans="1:19" x14ac:dyDescent="0.35">
      <c r="A499" s="4">
        <v>44161</v>
      </c>
      <c r="B499" s="2">
        <v>27.309999000000001</v>
      </c>
      <c r="C499" s="2">
        <v>13.56</v>
      </c>
      <c r="D499" s="2">
        <v>43</v>
      </c>
      <c r="E499" s="2">
        <v>53.869999</v>
      </c>
      <c r="F499" s="8">
        <v>1268.2700199999999</v>
      </c>
      <c r="G499" s="12">
        <f t="shared" si="60"/>
        <v>3.0108165876812587E-2</v>
      </c>
      <c r="H499" s="3">
        <f t="shared" si="61"/>
        <v>2.0865138463961756E-2</v>
      </c>
      <c r="I499" s="3">
        <f t="shared" si="62"/>
        <v>1.1696039763191236E-2</v>
      </c>
      <c r="J499" s="3">
        <f t="shared" si="63"/>
        <v>1.4585131533654311E-2</v>
      </c>
      <c r="K499" s="14">
        <f t="shared" si="64"/>
        <v>-1.3080404919167416E-3</v>
      </c>
      <c r="L499" s="9">
        <v>0.2</v>
      </c>
      <c r="M499" s="2">
        <v>0</v>
      </c>
      <c r="N499" s="2">
        <v>0</v>
      </c>
      <c r="O499" s="2">
        <v>0.7</v>
      </c>
      <c r="P499" s="8">
        <v>0.1</v>
      </c>
      <c r="Q499" s="12">
        <f t="shared" si="57"/>
        <v>3.0372324391769766E-5</v>
      </c>
      <c r="R499" s="3">
        <f t="shared" si="58"/>
        <v>1.9198486357216262E-4</v>
      </c>
      <c r="S499" s="14">
        <f t="shared" si="59"/>
        <v>1.3855860260992914E-2</v>
      </c>
    </row>
    <row r="500" spans="1:19" x14ac:dyDescent="0.35">
      <c r="A500" s="4">
        <v>44162</v>
      </c>
      <c r="B500" s="2">
        <v>27.530000999999999</v>
      </c>
      <c r="C500" s="2">
        <v>13.45</v>
      </c>
      <c r="D500" s="2">
        <v>43.130001</v>
      </c>
      <c r="E500" s="2">
        <v>52.880001</v>
      </c>
      <c r="F500" s="8">
        <v>1271.1999510000001</v>
      </c>
      <c r="G500" s="12">
        <f t="shared" si="60"/>
        <v>8.0234566095363849E-3</v>
      </c>
      <c r="H500" s="3">
        <f t="shared" si="61"/>
        <v>-8.145176464401542E-3</v>
      </c>
      <c r="I500" s="3">
        <f t="shared" si="62"/>
        <v>3.0187181519067455E-3</v>
      </c>
      <c r="J500" s="3">
        <f t="shared" si="63"/>
        <v>-1.8548503675062517E-2</v>
      </c>
      <c r="K500" s="14">
        <f t="shared" si="64"/>
        <v>2.3075148227970858E-3</v>
      </c>
      <c r="L500" s="9">
        <v>0.1</v>
      </c>
      <c r="M500" s="2">
        <v>0.1</v>
      </c>
      <c r="N500" s="2">
        <v>0</v>
      </c>
      <c r="O500" s="2">
        <v>0.7</v>
      </c>
      <c r="P500" s="8">
        <v>0.1</v>
      </c>
      <c r="Q500" s="12">
        <f t="shared" si="57"/>
        <v>1.3062851314118857E-4</v>
      </c>
      <c r="R500" s="3">
        <f t="shared" si="58"/>
        <v>1.6775719073100801E-4</v>
      </c>
      <c r="S500" s="14">
        <f t="shared" si="59"/>
        <v>1.2952111439105518E-2</v>
      </c>
    </row>
    <row r="501" spans="1:19" x14ac:dyDescent="0.35">
      <c r="A501" s="4">
        <v>44165</v>
      </c>
      <c r="B501" s="2">
        <v>27.75</v>
      </c>
      <c r="C501" s="2">
        <v>13.87</v>
      </c>
      <c r="D501" s="2">
        <v>42.759998000000003</v>
      </c>
      <c r="E501" s="2">
        <v>53.25</v>
      </c>
      <c r="F501" s="8">
        <v>1293.829956</v>
      </c>
      <c r="G501" s="12">
        <f t="shared" si="60"/>
        <v>7.9594847139182016E-3</v>
      </c>
      <c r="H501" s="3">
        <f t="shared" si="61"/>
        <v>3.0749128278892035E-2</v>
      </c>
      <c r="I501" s="3">
        <f t="shared" si="62"/>
        <v>-8.6157944613103662E-3</v>
      </c>
      <c r="J501" s="3">
        <f t="shared" si="63"/>
        <v>6.9725901353624867E-3</v>
      </c>
      <c r="K501" s="14">
        <f t="shared" si="64"/>
        <v>1.7645480166910942E-2</v>
      </c>
      <c r="L501" s="9">
        <v>0</v>
      </c>
      <c r="M501" s="2">
        <v>0.2</v>
      </c>
      <c r="N501" s="2">
        <v>0</v>
      </c>
      <c r="O501" s="2">
        <v>0.7</v>
      </c>
      <c r="P501" s="8">
        <v>0.1</v>
      </c>
      <c r="Q501" s="12">
        <f t="shared" si="57"/>
        <v>2.308847018906074E-4</v>
      </c>
      <c r="R501" s="3">
        <f t="shared" si="58"/>
        <v>1.6809749797098392E-4</v>
      </c>
      <c r="S501" s="14">
        <f t="shared" si="59"/>
        <v>1.296524191717933E-2</v>
      </c>
    </row>
    <row r="502" spans="1:19" x14ac:dyDescent="0.35">
      <c r="A502" s="4">
        <v>44166</v>
      </c>
      <c r="B502" s="2">
        <v>27.709999</v>
      </c>
      <c r="C502" s="2">
        <v>13.52</v>
      </c>
      <c r="D502" s="2">
        <v>42.799999</v>
      </c>
      <c r="E502" s="2">
        <v>55.18</v>
      </c>
      <c r="F502" s="8">
        <v>1293.089966</v>
      </c>
      <c r="G502" s="12">
        <f t="shared" si="60"/>
        <v>-1.4425174056119691E-3</v>
      </c>
      <c r="H502" s="3">
        <f t="shared" si="61"/>
        <v>-2.5558163711922131E-2</v>
      </c>
      <c r="I502" s="3">
        <f t="shared" si="62"/>
        <v>9.3503983910605919E-4</v>
      </c>
      <c r="J502" s="3">
        <f t="shared" si="63"/>
        <v>3.5602764199605431E-2</v>
      </c>
      <c r="K502" s="14">
        <f t="shared" si="64"/>
        <v>-5.7210121882017833E-4</v>
      </c>
      <c r="L502" s="9">
        <v>0.1</v>
      </c>
      <c r="M502" s="2">
        <v>0</v>
      </c>
      <c r="N502" s="2">
        <v>0.1</v>
      </c>
      <c r="O502" s="2">
        <v>0.7</v>
      </c>
      <c r="P502" s="8">
        <v>0.1</v>
      </c>
      <c r="Q502" s="12">
        <f t="shared" si="57"/>
        <v>1.7512224632375821E-4</v>
      </c>
      <c r="R502" s="3">
        <f t="shared" si="58"/>
        <v>1.6902036257913518E-4</v>
      </c>
      <c r="S502" s="14">
        <f t="shared" si="59"/>
        <v>1.300078315253105E-2</v>
      </c>
    </row>
    <row r="503" spans="1:19" x14ac:dyDescent="0.35">
      <c r="A503" s="4">
        <v>44167</v>
      </c>
      <c r="B503" s="2">
        <v>27.74</v>
      </c>
      <c r="C503" s="2">
        <v>14.27</v>
      </c>
      <c r="D503" s="2">
        <v>43.82</v>
      </c>
      <c r="E503" s="2">
        <v>56.040000999999997</v>
      </c>
      <c r="F503" s="8">
        <v>1299.01001</v>
      </c>
      <c r="G503" s="12">
        <f t="shared" si="60"/>
        <v>1.0820920998538353E-3</v>
      </c>
      <c r="H503" s="3">
        <f t="shared" si="61"/>
        <v>5.3989360873926945E-2</v>
      </c>
      <c r="I503" s="3">
        <f t="shared" si="62"/>
        <v>2.3552254944055658E-2</v>
      </c>
      <c r="J503" s="3">
        <f t="shared" si="63"/>
        <v>1.5465170524062851E-2</v>
      </c>
      <c r="K503" s="14">
        <f t="shared" si="64"/>
        <v>4.5677669442049131E-3</v>
      </c>
      <c r="L503" s="9">
        <v>0</v>
      </c>
      <c r="M503" s="2">
        <v>0.1</v>
      </c>
      <c r="N503" s="2">
        <v>0.1</v>
      </c>
      <c r="O503" s="2">
        <v>0.7</v>
      </c>
      <c r="P503" s="8">
        <v>0.1</v>
      </c>
      <c r="Q503" s="12">
        <f t="shared" si="57"/>
        <v>2.7537843507317698E-4</v>
      </c>
      <c r="R503" s="3">
        <f t="shared" si="58"/>
        <v>1.6506697786192019E-4</v>
      </c>
      <c r="S503" s="14">
        <f t="shared" si="59"/>
        <v>1.2847839423884476E-2</v>
      </c>
    </row>
    <row r="504" spans="1:19" x14ac:dyDescent="0.35">
      <c r="A504" s="4">
        <v>44168</v>
      </c>
      <c r="B504" s="2">
        <v>28.440000999999999</v>
      </c>
      <c r="C504" s="2">
        <v>15.07</v>
      </c>
      <c r="D504" s="2">
        <v>43.459999000000003</v>
      </c>
      <c r="E504" s="2">
        <v>56.650002000000001</v>
      </c>
      <c r="F504" s="8">
        <v>1300.339966</v>
      </c>
      <c r="G504" s="12">
        <f t="shared" si="60"/>
        <v>2.4921225210098031E-2</v>
      </c>
      <c r="H504" s="3">
        <f t="shared" si="61"/>
        <v>5.4546581149659143E-2</v>
      </c>
      <c r="I504" s="3">
        <f t="shared" si="62"/>
        <v>-8.2493823487011352E-3</v>
      </c>
      <c r="J504" s="3">
        <f t="shared" si="63"/>
        <v>1.0826283465313035E-2</v>
      </c>
      <c r="K504" s="14">
        <f t="shared" si="64"/>
        <v>1.0232990003915157E-3</v>
      </c>
      <c r="L504" s="9">
        <v>0</v>
      </c>
      <c r="M504" s="2">
        <v>0</v>
      </c>
      <c r="N504" s="2">
        <v>0.2</v>
      </c>
      <c r="O504" s="2">
        <v>0.7</v>
      </c>
      <c r="P504" s="8">
        <v>0.1</v>
      </c>
      <c r="Q504" s="12">
        <f t="shared" si="57"/>
        <v>3.1987216825574665E-4</v>
      </c>
      <c r="R504" s="3">
        <f t="shared" si="58"/>
        <v>1.7623499172279725E-4</v>
      </c>
      <c r="S504" s="14">
        <f t="shared" si="59"/>
        <v>1.3275352790897772E-2</v>
      </c>
    </row>
    <row r="505" spans="1:19" x14ac:dyDescent="0.35">
      <c r="L505" s="2">
        <v>0.1</v>
      </c>
      <c r="M505" s="2">
        <v>0</v>
      </c>
      <c r="N505" s="2">
        <v>0</v>
      </c>
      <c r="O505" s="2">
        <v>0.8</v>
      </c>
      <c r="P505" s="8">
        <v>0.1</v>
      </c>
      <c r="Q505" s="12">
        <f t="shared" si="57"/>
        <v>1.7292411825570099E-4</v>
      </c>
      <c r="R505" s="3">
        <f t="shared" si="58"/>
        <v>1.9066721684410511E-4</v>
      </c>
      <c r="S505" s="14">
        <f t="shared" si="59"/>
        <v>1.3808230040237058E-2</v>
      </c>
    </row>
    <row r="506" spans="1:19" x14ac:dyDescent="0.35">
      <c r="L506" s="2">
        <v>0</v>
      </c>
      <c r="M506" s="2">
        <v>0.1</v>
      </c>
      <c r="N506" s="2">
        <v>0</v>
      </c>
      <c r="O506" s="2">
        <v>0.8</v>
      </c>
      <c r="P506" s="8">
        <v>0.1</v>
      </c>
      <c r="Q506" s="12">
        <f t="shared" si="57"/>
        <v>2.7318030700511982E-4</v>
      </c>
      <c r="R506" s="3">
        <f t="shared" si="58"/>
        <v>1.8537533802044314E-4</v>
      </c>
      <c r="S506" s="14">
        <f t="shared" si="59"/>
        <v>1.361526121748838E-2</v>
      </c>
    </row>
    <row r="507" spans="1:19" x14ac:dyDescent="0.35">
      <c r="L507" s="2">
        <v>0</v>
      </c>
      <c r="M507" s="2">
        <v>0</v>
      </c>
      <c r="N507" s="2">
        <v>0.1</v>
      </c>
      <c r="O507" s="2">
        <v>0.8</v>
      </c>
      <c r="P507" s="8">
        <v>0.1</v>
      </c>
      <c r="Q507" s="12">
        <f t="shared" si="57"/>
        <v>3.1767404018768943E-4</v>
      </c>
      <c r="R507" s="3">
        <f t="shared" si="58"/>
        <v>1.888263124956764E-4</v>
      </c>
      <c r="S507" s="14">
        <f t="shared" si="59"/>
        <v>1.374140867945046E-2</v>
      </c>
    </row>
    <row r="508" spans="1:19" x14ac:dyDescent="0.35">
      <c r="L508" s="2">
        <v>0</v>
      </c>
      <c r="M508" s="2">
        <v>0</v>
      </c>
      <c r="N508" s="2">
        <v>0</v>
      </c>
      <c r="O508" s="2">
        <v>0.9</v>
      </c>
      <c r="P508" s="8">
        <v>0.1</v>
      </c>
      <c r="Q508" s="12">
        <f t="shared" si="57"/>
        <v>3.1547591211963217E-4</v>
      </c>
      <c r="R508" s="3">
        <f t="shared" si="58"/>
        <v>2.1312751758020067E-4</v>
      </c>
      <c r="S508" s="14">
        <f t="shared" si="59"/>
        <v>1.4598887545981052E-2</v>
      </c>
    </row>
    <row r="509" spans="1:19" x14ac:dyDescent="0.35">
      <c r="L509" s="2">
        <v>0.8</v>
      </c>
      <c r="M509" s="2">
        <v>0</v>
      </c>
      <c r="N509" s="2">
        <v>0</v>
      </c>
      <c r="O509" s="2">
        <v>0</v>
      </c>
      <c r="P509" s="8">
        <v>0.2</v>
      </c>
      <c r="Q509" s="12">
        <f t="shared" si="57"/>
        <v>-7.7709684295099244E-4</v>
      </c>
      <c r="R509" s="3">
        <f t="shared" si="58"/>
        <v>6.8497311753438887E-4</v>
      </c>
      <c r="S509" s="14">
        <f t="shared" si="59"/>
        <v>2.6171991088459221E-2</v>
      </c>
    </row>
    <row r="510" spans="1:19" x14ac:dyDescent="0.35">
      <c r="L510" s="2">
        <v>0.7</v>
      </c>
      <c r="M510" s="2">
        <v>0.1</v>
      </c>
      <c r="N510" s="2">
        <v>0</v>
      </c>
      <c r="O510" s="2">
        <v>0</v>
      </c>
      <c r="P510" s="8">
        <v>0.2</v>
      </c>
      <c r="Q510" s="12">
        <f t="shared" si="57"/>
        <v>-6.7684065420157361E-4</v>
      </c>
      <c r="R510" s="3">
        <f t="shared" si="58"/>
        <v>5.4767300373263187E-4</v>
      </c>
      <c r="S510" s="14">
        <f t="shared" si="59"/>
        <v>2.3402414485104564E-2</v>
      </c>
    </row>
    <row r="511" spans="1:19" x14ac:dyDescent="0.35">
      <c r="L511" s="2">
        <v>0.6</v>
      </c>
      <c r="M511" s="2">
        <v>0.2</v>
      </c>
      <c r="N511" s="2">
        <v>0</v>
      </c>
      <c r="O511" s="2">
        <v>0</v>
      </c>
      <c r="P511" s="8">
        <v>0.2</v>
      </c>
      <c r="Q511" s="12">
        <f t="shared" si="57"/>
        <v>-5.7658446545215468E-4</v>
      </c>
      <c r="R511" s="3">
        <f t="shared" si="58"/>
        <v>4.3494087001200551E-4</v>
      </c>
      <c r="S511" s="14">
        <f t="shared" si="59"/>
        <v>2.0855236033476235E-2</v>
      </c>
    </row>
    <row r="512" spans="1:19" x14ac:dyDescent="0.35">
      <c r="L512" s="2">
        <v>0.5</v>
      </c>
      <c r="M512" s="2">
        <v>0.3</v>
      </c>
      <c r="N512" s="2">
        <v>0</v>
      </c>
      <c r="O512" s="2">
        <v>0</v>
      </c>
      <c r="P512" s="8">
        <v>0.2</v>
      </c>
      <c r="Q512" s="12">
        <f t="shared" si="57"/>
        <v>-4.7632827670273596E-4</v>
      </c>
      <c r="R512" s="3">
        <f t="shared" si="58"/>
        <v>3.4677671637250963E-4</v>
      </c>
      <c r="S512" s="14">
        <f t="shared" si="59"/>
        <v>1.8621941799192413E-2</v>
      </c>
    </row>
    <row r="513" spans="12:19" x14ac:dyDescent="0.35">
      <c r="L513" s="2">
        <v>0.4</v>
      </c>
      <c r="M513" s="2">
        <v>0.4</v>
      </c>
      <c r="N513" s="2">
        <v>0</v>
      </c>
      <c r="O513" s="2">
        <v>0</v>
      </c>
      <c r="P513" s="8">
        <v>0.2</v>
      </c>
      <c r="Q513" s="12">
        <f t="shared" si="57"/>
        <v>-3.7607208795331724E-4</v>
      </c>
      <c r="R513" s="3">
        <f t="shared" si="58"/>
        <v>2.8318054281414428E-4</v>
      </c>
      <c r="S513" s="14">
        <f t="shared" si="59"/>
        <v>1.6827969063857477E-2</v>
      </c>
    </row>
    <row r="514" spans="12:19" x14ac:dyDescent="0.35">
      <c r="L514" s="2">
        <v>0.3</v>
      </c>
      <c r="M514" s="2">
        <v>0.5</v>
      </c>
      <c r="N514" s="2">
        <v>0</v>
      </c>
      <c r="O514" s="2">
        <v>0</v>
      </c>
      <c r="P514" s="8">
        <v>0.2</v>
      </c>
      <c r="Q514" s="12">
        <f t="shared" si="57"/>
        <v>-2.758158992038983E-4</v>
      </c>
      <c r="R514" s="3">
        <f t="shared" si="58"/>
        <v>2.4415234933690931E-4</v>
      </c>
      <c r="S514" s="14">
        <f t="shared" si="59"/>
        <v>1.5625375174276913E-2</v>
      </c>
    </row>
    <row r="515" spans="12:19" x14ac:dyDescent="0.35">
      <c r="L515" s="2">
        <v>0.2</v>
      </c>
      <c r="M515" s="2">
        <v>0.6</v>
      </c>
      <c r="N515" s="2">
        <v>0</v>
      </c>
      <c r="O515" s="2">
        <v>0</v>
      </c>
      <c r="P515" s="8">
        <v>0.2</v>
      </c>
      <c r="Q515" s="12">
        <f t="shared" ref="Q515:Q578" si="65">SUMPRODUCT($U$5:$Y$5,L515:P515)</f>
        <v>-1.7555971045447958E-4</v>
      </c>
      <c r="R515" s="3">
        <f t="shared" ref="R515:R578" si="66">POWER(L515,2)*$V$9+POWER(M515,2)*$W$10+POWER(N515,2)*$X$11+POWER(O515,2)*$Y$12+POWER(P515,2)*$Z$13+2*(L515*M515*$V$10+N515*O515*$X$12+N515*P515*$X$13+$O$3*P515*$Y$13+L515*N515*$V$11+L515*O515*$V$12+L515*P515*$V$13+M515*N515*$W$11+M515*O515*$W$12+M515*P515*$W$13)</f>
        <v>2.2969213594080485E-4</v>
      </c>
      <c r="S515" s="14">
        <f t="shared" si="59"/>
        <v>1.5155597511837164E-2</v>
      </c>
    </row>
    <row r="516" spans="12:19" x14ac:dyDescent="0.35">
      <c r="L516" s="2">
        <v>0.1</v>
      </c>
      <c r="M516" s="2">
        <v>0.7</v>
      </c>
      <c r="N516" s="2">
        <v>0</v>
      </c>
      <c r="O516" s="2">
        <v>0</v>
      </c>
      <c r="P516" s="8">
        <v>0.2</v>
      </c>
      <c r="Q516" s="12">
        <f t="shared" si="65"/>
        <v>-7.5303521705060724E-5</v>
      </c>
      <c r="R516" s="3">
        <f t="shared" si="66"/>
        <v>2.3979990262583089E-4</v>
      </c>
      <c r="S516" s="14">
        <f t="shared" ref="S516:S579" si="67">SQRT(R516)</f>
        <v>1.5485473923191079E-2</v>
      </c>
    </row>
    <row r="517" spans="12:19" x14ac:dyDescent="0.35">
      <c r="L517" s="2">
        <v>0</v>
      </c>
      <c r="M517" s="2">
        <v>0.8</v>
      </c>
      <c r="N517" s="2">
        <v>0</v>
      </c>
      <c r="O517" s="2">
        <v>0</v>
      </c>
      <c r="P517" s="8">
        <v>0.2</v>
      </c>
      <c r="Q517" s="12">
        <f t="shared" si="65"/>
        <v>2.4952667044358078E-5</v>
      </c>
      <c r="R517" s="3">
        <f t="shared" si="66"/>
        <v>2.7447564939198755E-4</v>
      </c>
      <c r="S517" s="14">
        <f t="shared" si="67"/>
        <v>1.6567306642661851E-2</v>
      </c>
    </row>
    <row r="518" spans="12:19" x14ac:dyDescent="0.35">
      <c r="L518" s="2">
        <v>0.7</v>
      </c>
      <c r="M518" s="2">
        <v>0</v>
      </c>
      <c r="N518" s="2">
        <v>0.1</v>
      </c>
      <c r="O518" s="2">
        <v>0</v>
      </c>
      <c r="P518" s="8">
        <v>0.2</v>
      </c>
      <c r="Q518" s="12">
        <f t="shared" si="65"/>
        <v>-6.32346921019004E-4</v>
      </c>
      <c r="R518" s="3">
        <f t="shared" si="66"/>
        <v>5.3550796149520242E-4</v>
      </c>
      <c r="S518" s="14">
        <f t="shared" si="67"/>
        <v>2.3141044952534068E-2</v>
      </c>
    </row>
    <row r="519" spans="12:19" x14ac:dyDescent="0.35">
      <c r="L519" s="2">
        <v>0.6</v>
      </c>
      <c r="M519" s="2">
        <v>0.1</v>
      </c>
      <c r="N519" s="2">
        <v>0.1</v>
      </c>
      <c r="O519" s="2">
        <v>0</v>
      </c>
      <c r="P519" s="8">
        <v>0.2</v>
      </c>
      <c r="Q519" s="12">
        <f t="shared" si="65"/>
        <v>-5.3209073226958517E-4</v>
      </c>
      <c r="R519" s="3">
        <f t="shared" si="66"/>
        <v>4.1848213581738525E-4</v>
      </c>
      <c r="S519" s="14">
        <f t="shared" si="67"/>
        <v>2.045683591901214E-2</v>
      </c>
    </row>
    <row r="520" spans="12:19" x14ac:dyDescent="0.35">
      <c r="L520" s="2">
        <v>0.5</v>
      </c>
      <c r="M520" s="2">
        <v>0.2</v>
      </c>
      <c r="N520" s="2">
        <v>0.1</v>
      </c>
      <c r="O520" s="2">
        <v>0</v>
      </c>
      <c r="P520" s="8">
        <v>0.2</v>
      </c>
      <c r="Q520" s="12">
        <f t="shared" si="65"/>
        <v>-4.3183454352016645E-4</v>
      </c>
      <c r="R520" s="3">
        <f t="shared" si="66"/>
        <v>3.2602429022069845E-4</v>
      </c>
      <c r="S520" s="14">
        <f t="shared" si="67"/>
        <v>1.8056142728188056E-2</v>
      </c>
    </row>
    <row r="521" spans="12:19" x14ac:dyDescent="0.35">
      <c r="L521" s="2">
        <v>0.4</v>
      </c>
      <c r="M521" s="2">
        <v>0.3</v>
      </c>
      <c r="N521" s="2">
        <v>0.1</v>
      </c>
      <c r="O521" s="2">
        <v>0</v>
      </c>
      <c r="P521" s="8">
        <v>0.2</v>
      </c>
      <c r="Q521" s="12">
        <f t="shared" si="65"/>
        <v>-3.3157835477074757E-4</v>
      </c>
      <c r="R521" s="3">
        <f t="shared" si="66"/>
        <v>2.5813442470514213E-4</v>
      </c>
      <c r="S521" s="14">
        <f t="shared" si="67"/>
        <v>1.6066562317594332E-2</v>
      </c>
    </row>
    <row r="522" spans="12:19" x14ac:dyDescent="0.35">
      <c r="L522" s="2">
        <v>0.3</v>
      </c>
      <c r="M522" s="2">
        <v>0.4</v>
      </c>
      <c r="N522" s="2">
        <v>0.1</v>
      </c>
      <c r="O522" s="2">
        <v>0</v>
      </c>
      <c r="P522" s="8">
        <v>0.2</v>
      </c>
      <c r="Q522" s="12">
        <f t="shared" si="65"/>
        <v>-2.3132216602132869E-4</v>
      </c>
      <c r="R522" s="3">
        <f t="shared" si="66"/>
        <v>2.1481253927071631E-4</v>
      </c>
      <c r="S522" s="14">
        <f t="shared" si="67"/>
        <v>1.4656484546804405E-2</v>
      </c>
    </row>
    <row r="523" spans="12:19" x14ac:dyDescent="0.35">
      <c r="L523" s="2">
        <v>0.2</v>
      </c>
      <c r="M523" s="2">
        <v>0.5</v>
      </c>
      <c r="N523" s="2">
        <v>0.1</v>
      </c>
      <c r="O523" s="2">
        <v>0</v>
      </c>
      <c r="P523" s="8">
        <v>0.2</v>
      </c>
      <c r="Q523" s="12">
        <f t="shared" si="65"/>
        <v>-1.3106597727190991E-4</v>
      </c>
      <c r="R523" s="3">
        <f t="shared" si="66"/>
        <v>1.9605863391742098E-4</v>
      </c>
      <c r="S523" s="14">
        <f t="shared" si="67"/>
        <v>1.4002093911891214E-2</v>
      </c>
    </row>
    <row r="524" spans="12:19" x14ac:dyDescent="0.35">
      <c r="L524" s="2">
        <v>0.1</v>
      </c>
      <c r="M524" s="2">
        <v>0.6</v>
      </c>
      <c r="N524" s="2">
        <v>0.1</v>
      </c>
      <c r="O524" s="2">
        <v>0</v>
      </c>
      <c r="P524" s="8">
        <v>0.2</v>
      </c>
      <c r="Q524" s="12">
        <f t="shared" si="65"/>
        <v>-3.0809788522491113E-5</v>
      </c>
      <c r="R524" s="3">
        <f t="shared" si="66"/>
        <v>2.0187270864525613E-4</v>
      </c>
      <c r="S524" s="14">
        <f t="shared" si="67"/>
        <v>1.4208191603622754E-2</v>
      </c>
    </row>
    <row r="525" spans="12:19" x14ac:dyDescent="0.35">
      <c r="L525" s="2">
        <v>0</v>
      </c>
      <c r="M525" s="2">
        <v>0.7</v>
      </c>
      <c r="N525" s="2">
        <v>0.1</v>
      </c>
      <c r="O525" s="2">
        <v>0</v>
      </c>
      <c r="P525" s="8">
        <v>0.2</v>
      </c>
      <c r="Q525" s="12">
        <f t="shared" si="65"/>
        <v>6.9446400226927716E-5</v>
      </c>
      <c r="R525" s="3">
        <f t="shared" si="66"/>
        <v>2.3225476345422176E-4</v>
      </c>
      <c r="S525" s="14">
        <f t="shared" si="67"/>
        <v>1.5239906937190325E-2</v>
      </c>
    </row>
    <row r="526" spans="12:19" x14ac:dyDescent="0.35">
      <c r="L526" s="2">
        <v>0.6</v>
      </c>
      <c r="M526" s="2">
        <v>0</v>
      </c>
      <c r="N526" s="2">
        <v>0.2</v>
      </c>
      <c r="O526" s="2">
        <v>0</v>
      </c>
      <c r="P526" s="8">
        <v>0.2</v>
      </c>
      <c r="Q526" s="12">
        <f t="shared" si="65"/>
        <v>-4.8759699908701546E-4</v>
      </c>
      <c r="R526" s="3">
        <f t="shared" si="66"/>
        <v>4.1622193559270572E-4</v>
      </c>
      <c r="S526" s="14">
        <f t="shared" si="67"/>
        <v>2.040151797275648E-2</v>
      </c>
    </row>
    <row r="527" spans="12:19" x14ac:dyDescent="0.35">
      <c r="L527" s="2">
        <v>0.5</v>
      </c>
      <c r="M527" s="2">
        <v>0.1</v>
      </c>
      <c r="N527" s="2">
        <v>0.2</v>
      </c>
      <c r="O527" s="2">
        <v>0</v>
      </c>
      <c r="P527" s="8">
        <v>0.2</v>
      </c>
      <c r="Q527" s="12">
        <f t="shared" si="65"/>
        <v>-3.8734081033759674E-4</v>
      </c>
      <c r="R527" s="3">
        <f t="shared" si="66"/>
        <v>3.1947039803882806E-4</v>
      </c>
      <c r="S527" s="14">
        <f t="shared" si="67"/>
        <v>1.7873734865405944E-2</v>
      </c>
    </row>
    <row r="528" spans="12:19" x14ac:dyDescent="0.35">
      <c r="L528" s="2">
        <v>0.4</v>
      </c>
      <c r="M528" s="2">
        <v>0.2</v>
      </c>
      <c r="N528" s="2">
        <v>0.2</v>
      </c>
      <c r="O528" s="2">
        <v>0</v>
      </c>
      <c r="P528" s="8">
        <v>0.2</v>
      </c>
      <c r="Q528" s="12">
        <f t="shared" si="65"/>
        <v>-2.8708462158817796E-4</v>
      </c>
      <c r="R528" s="3">
        <f t="shared" si="66"/>
        <v>2.4728684056608087E-4</v>
      </c>
      <c r="S528" s="14">
        <f t="shared" si="67"/>
        <v>1.5725356611730013E-2</v>
      </c>
    </row>
    <row r="529" spans="12:19" x14ac:dyDescent="0.35">
      <c r="L529" s="2">
        <v>0.3</v>
      </c>
      <c r="M529" s="2">
        <v>0.3</v>
      </c>
      <c r="N529" s="2">
        <v>0.2</v>
      </c>
      <c r="O529" s="2">
        <v>0</v>
      </c>
      <c r="P529" s="8">
        <v>0.2</v>
      </c>
      <c r="Q529" s="12">
        <f t="shared" si="65"/>
        <v>-1.8682843283875913E-4</v>
      </c>
      <c r="R529" s="3">
        <f t="shared" si="66"/>
        <v>1.9967126317446413E-4</v>
      </c>
      <c r="S529" s="14">
        <f t="shared" si="67"/>
        <v>1.4130508241902134E-2</v>
      </c>
    </row>
    <row r="530" spans="12:19" x14ac:dyDescent="0.35">
      <c r="L530" s="2">
        <v>0.2</v>
      </c>
      <c r="M530" s="2">
        <v>0.4</v>
      </c>
      <c r="N530" s="2">
        <v>0.2</v>
      </c>
      <c r="O530" s="2">
        <v>0</v>
      </c>
      <c r="P530" s="8">
        <v>0.2</v>
      </c>
      <c r="Q530" s="12">
        <f t="shared" si="65"/>
        <v>-8.6572244089340303E-5</v>
      </c>
      <c r="R530" s="3">
        <f t="shared" si="66"/>
        <v>1.7662366586397796E-4</v>
      </c>
      <c r="S530" s="14">
        <f t="shared" si="67"/>
        <v>1.3289983666806291E-2</v>
      </c>
    </row>
    <row r="531" spans="12:19" x14ac:dyDescent="0.35">
      <c r="L531" s="2">
        <v>0.1</v>
      </c>
      <c r="M531" s="2">
        <v>0.5</v>
      </c>
      <c r="N531" s="2">
        <v>0.2</v>
      </c>
      <c r="O531" s="2">
        <v>0</v>
      </c>
      <c r="P531" s="8">
        <v>0.2</v>
      </c>
      <c r="Q531" s="12">
        <f t="shared" si="65"/>
        <v>1.3683944660078471E-5</v>
      </c>
      <c r="R531" s="3">
        <f t="shared" si="66"/>
        <v>1.7814404863462222E-4</v>
      </c>
      <c r="S531" s="14">
        <f t="shared" si="67"/>
        <v>1.3347061423198074E-2</v>
      </c>
    </row>
    <row r="532" spans="12:19" x14ac:dyDescent="0.35">
      <c r="L532" s="2">
        <v>0</v>
      </c>
      <c r="M532" s="2">
        <v>0.6</v>
      </c>
      <c r="N532" s="2">
        <v>0.2</v>
      </c>
      <c r="O532" s="2">
        <v>0</v>
      </c>
      <c r="P532" s="8">
        <v>0.2</v>
      </c>
      <c r="Q532" s="12">
        <f t="shared" si="65"/>
        <v>1.1394013340949731E-4</v>
      </c>
      <c r="R532" s="3">
        <f t="shared" si="66"/>
        <v>2.0423241148639695E-4</v>
      </c>
      <c r="S532" s="14">
        <f t="shared" si="67"/>
        <v>1.4290990570509693E-2</v>
      </c>
    </row>
    <row r="533" spans="12:19" x14ac:dyDescent="0.35">
      <c r="L533" s="2">
        <v>0.5</v>
      </c>
      <c r="M533" s="2">
        <v>0</v>
      </c>
      <c r="N533" s="2">
        <v>0.3</v>
      </c>
      <c r="O533" s="2">
        <v>0</v>
      </c>
      <c r="P533" s="8">
        <v>0.2</v>
      </c>
      <c r="Q533" s="12">
        <f t="shared" si="65"/>
        <v>-3.4284707715502712E-4</v>
      </c>
      <c r="R533" s="3">
        <f t="shared" si="66"/>
        <v>3.2711503982689845E-4</v>
      </c>
      <c r="S533" s="14">
        <f t="shared" si="67"/>
        <v>1.8086321898796848E-2</v>
      </c>
    </row>
    <row r="534" spans="12:19" x14ac:dyDescent="0.35">
      <c r="L534" s="2">
        <v>0.4</v>
      </c>
      <c r="M534" s="2">
        <v>0.1</v>
      </c>
      <c r="N534" s="2">
        <v>0.3</v>
      </c>
      <c r="O534" s="2">
        <v>0</v>
      </c>
      <c r="P534" s="8">
        <v>0.2</v>
      </c>
      <c r="Q534" s="12">
        <f t="shared" si="65"/>
        <v>-2.425908884056083E-4</v>
      </c>
      <c r="R534" s="3">
        <f t="shared" si="66"/>
        <v>2.506377903969604E-4</v>
      </c>
      <c r="S534" s="14">
        <f t="shared" si="67"/>
        <v>1.5831544157060624E-2</v>
      </c>
    </row>
    <row r="535" spans="12:19" x14ac:dyDescent="0.35">
      <c r="L535" s="2">
        <v>0.3</v>
      </c>
      <c r="M535" s="2">
        <v>0.2</v>
      </c>
      <c r="N535" s="2">
        <v>0.3</v>
      </c>
      <c r="O535" s="2">
        <v>0</v>
      </c>
      <c r="P535" s="8">
        <v>0.2</v>
      </c>
      <c r="Q535" s="12">
        <f t="shared" si="65"/>
        <v>-1.4233469965618947E-4</v>
      </c>
      <c r="R535" s="3">
        <f t="shared" si="66"/>
        <v>1.9872852104815277E-4</v>
      </c>
      <c r="S535" s="14">
        <f t="shared" si="67"/>
        <v>1.4097110379370404E-2</v>
      </c>
    </row>
    <row r="536" spans="12:19" x14ac:dyDescent="0.35">
      <c r="L536" s="2">
        <v>0.2</v>
      </c>
      <c r="M536" s="2">
        <v>0.3</v>
      </c>
      <c r="N536" s="2">
        <v>0.3</v>
      </c>
      <c r="O536" s="2">
        <v>0</v>
      </c>
      <c r="P536" s="8">
        <v>0.2</v>
      </c>
      <c r="Q536" s="12">
        <f t="shared" si="65"/>
        <v>-4.2078510906770692E-5</v>
      </c>
      <c r="R536" s="3">
        <f t="shared" si="66"/>
        <v>1.7138723178047568E-4</v>
      </c>
      <c r="S536" s="14">
        <f t="shared" si="67"/>
        <v>1.3091494635085623E-2</v>
      </c>
    </row>
    <row r="537" spans="12:19" x14ac:dyDescent="0.35">
      <c r="L537" s="2">
        <v>0.1</v>
      </c>
      <c r="M537" s="2">
        <v>0.4</v>
      </c>
      <c r="N537" s="2">
        <v>0.3</v>
      </c>
      <c r="O537" s="2">
        <v>0</v>
      </c>
      <c r="P537" s="8">
        <v>0.2</v>
      </c>
      <c r="Q537" s="12">
        <f t="shared" si="65"/>
        <v>5.8177677842648123E-5</v>
      </c>
      <c r="R537" s="3">
        <f t="shared" si="66"/>
        <v>1.6861392259392912E-4</v>
      </c>
      <c r="S537" s="14">
        <f t="shared" si="67"/>
        <v>1.2985142378654503E-2</v>
      </c>
    </row>
    <row r="538" spans="12:19" x14ac:dyDescent="0.35">
      <c r="L538" s="2">
        <v>0</v>
      </c>
      <c r="M538" s="2">
        <v>0.5</v>
      </c>
      <c r="N538" s="2">
        <v>0.3</v>
      </c>
      <c r="O538" s="2">
        <v>0</v>
      </c>
      <c r="P538" s="8">
        <v>0.2</v>
      </c>
      <c r="Q538" s="12">
        <f t="shared" si="65"/>
        <v>1.5843386659206691E-4</v>
      </c>
      <c r="R538" s="3">
        <f t="shared" si="66"/>
        <v>1.9040859348851296E-4</v>
      </c>
      <c r="S538" s="14">
        <f t="shared" si="67"/>
        <v>1.379886203599822E-2</v>
      </c>
    </row>
    <row r="539" spans="12:19" x14ac:dyDescent="0.35">
      <c r="L539" s="2">
        <v>0.4</v>
      </c>
      <c r="M539" s="2">
        <v>0</v>
      </c>
      <c r="N539" s="2">
        <v>0.4</v>
      </c>
      <c r="O539" s="2">
        <v>0</v>
      </c>
      <c r="P539" s="8">
        <v>0.2</v>
      </c>
      <c r="Q539" s="12">
        <f t="shared" si="65"/>
        <v>-1.9809715522303868E-4</v>
      </c>
      <c r="R539" s="3">
        <f t="shared" si="66"/>
        <v>2.6818727419778083E-4</v>
      </c>
      <c r="S539" s="14">
        <f t="shared" si="67"/>
        <v>1.6376424341039187E-2</v>
      </c>
    </row>
    <row r="540" spans="12:19" x14ac:dyDescent="0.35">
      <c r="L540" s="2">
        <v>0.3</v>
      </c>
      <c r="M540" s="2">
        <v>0.1</v>
      </c>
      <c r="N540" s="2">
        <v>0.4</v>
      </c>
      <c r="O540" s="2">
        <v>0</v>
      </c>
      <c r="P540" s="8">
        <v>0.2</v>
      </c>
      <c r="Q540" s="12">
        <f t="shared" si="65"/>
        <v>-9.7840966473619856E-5</v>
      </c>
      <c r="R540" s="3">
        <f t="shared" si="66"/>
        <v>2.1198431289178225E-4</v>
      </c>
      <c r="S540" s="14">
        <f t="shared" si="67"/>
        <v>1.4559681071087452E-2</v>
      </c>
    </row>
    <row r="541" spans="12:19" x14ac:dyDescent="0.35">
      <c r="L541" s="2">
        <v>0.2</v>
      </c>
      <c r="M541" s="2">
        <v>0.2</v>
      </c>
      <c r="N541" s="2">
        <v>0.4</v>
      </c>
      <c r="O541" s="2">
        <v>0</v>
      </c>
      <c r="P541" s="8">
        <v>0.2</v>
      </c>
      <c r="Q541" s="12">
        <f t="shared" si="65"/>
        <v>2.4152222757988916E-6</v>
      </c>
      <c r="R541" s="3">
        <f t="shared" si="66"/>
        <v>1.8034933166691431E-4</v>
      </c>
      <c r="S541" s="14">
        <f t="shared" si="67"/>
        <v>1.3429420377176161E-2</v>
      </c>
    </row>
    <row r="542" spans="12:19" x14ac:dyDescent="0.35">
      <c r="L542" s="2">
        <v>0.1</v>
      </c>
      <c r="M542" s="2">
        <v>0.3</v>
      </c>
      <c r="N542" s="2">
        <v>0.4</v>
      </c>
      <c r="O542" s="2">
        <v>0</v>
      </c>
      <c r="P542" s="8">
        <v>0.2</v>
      </c>
      <c r="Q542" s="12">
        <f t="shared" si="65"/>
        <v>1.0267141102521772E-4</v>
      </c>
      <c r="R542" s="3">
        <f t="shared" si="66"/>
        <v>1.7328233052317678E-4</v>
      </c>
      <c r="S542" s="14">
        <f t="shared" si="67"/>
        <v>1.3163674658816845E-2</v>
      </c>
    </row>
    <row r="543" spans="12:19" x14ac:dyDescent="0.35">
      <c r="L543" s="2">
        <v>0</v>
      </c>
      <c r="M543" s="2">
        <v>0.4</v>
      </c>
      <c r="N543" s="2">
        <v>0.4</v>
      </c>
      <c r="O543" s="2">
        <v>0</v>
      </c>
      <c r="P543" s="8">
        <v>0.2</v>
      </c>
      <c r="Q543" s="12">
        <f t="shared" si="65"/>
        <v>2.0292759977463655E-4</v>
      </c>
      <c r="R543" s="3">
        <f t="shared" si="66"/>
        <v>1.9078330946056983E-4</v>
      </c>
      <c r="S543" s="14">
        <f t="shared" si="67"/>
        <v>1.3812433147732148E-2</v>
      </c>
    </row>
    <row r="544" spans="12:19" x14ac:dyDescent="0.35">
      <c r="L544" s="2">
        <v>0.3</v>
      </c>
      <c r="M544" s="2">
        <v>0</v>
      </c>
      <c r="N544" s="2">
        <v>0.5</v>
      </c>
      <c r="O544" s="2">
        <v>0</v>
      </c>
      <c r="P544" s="8">
        <v>0.2</v>
      </c>
      <c r="Q544" s="12">
        <f t="shared" si="65"/>
        <v>-5.3347233291050245E-5</v>
      </c>
      <c r="R544" s="3">
        <f t="shared" si="66"/>
        <v>2.3943863870535252E-4</v>
      </c>
      <c r="S544" s="14">
        <f t="shared" si="67"/>
        <v>1.5473804920101343E-2</v>
      </c>
    </row>
    <row r="545" spans="12:19" x14ac:dyDescent="0.35">
      <c r="L545" s="2">
        <v>0.2</v>
      </c>
      <c r="M545" s="2">
        <v>0.1</v>
      </c>
      <c r="N545" s="2">
        <v>0.5</v>
      </c>
      <c r="O545" s="2">
        <v>0</v>
      </c>
      <c r="P545" s="8">
        <v>0.2</v>
      </c>
      <c r="Q545" s="12">
        <f t="shared" si="65"/>
        <v>4.690895545836853E-5</v>
      </c>
      <c r="R545" s="3">
        <f t="shared" si="66"/>
        <v>2.0350996552329366E-4</v>
      </c>
      <c r="S545" s="14">
        <f t="shared" si="67"/>
        <v>1.426569190482164E-2</v>
      </c>
    </row>
    <row r="546" spans="12:19" x14ac:dyDescent="0.35">
      <c r="L546" s="2">
        <v>0.1</v>
      </c>
      <c r="M546" s="2">
        <v>0.2</v>
      </c>
      <c r="N546" s="2">
        <v>0.5</v>
      </c>
      <c r="O546" s="2">
        <v>0</v>
      </c>
      <c r="P546" s="8">
        <v>0.2</v>
      </c>
      <c r="Q546" s="12">
        <f t="shared" si="65"/>
        <v>1.4716514420778736E-4</v>
      </c>
      <c r="R546" s="3">
        <f t="shared" si="66"/>
        <v>1.9214927242236531E-4</v>
      </c>
      <c r="S546" s="14">
        <f t="shared" si="67"/>
        <v>1.3861791818605751E-2</v>
      </c>
    </row>
    <row r="547" spans="12:19" x14ac:dyDescent="0.35">
      <c r="L547" s="2">
        <v>0</v>
      </c>
      <c r="M547" s="2">
        <v>0.3</v>
      </c>
      <c r="N547" s="2">
        <v>0.5</v>
      </c>
      <c r="O547" s="2">
        <v>0</v>
      </c>
      <c r="P547" s="8">
        <v>0.2</v>
      </c>
      <c r="Q547" s="12">
        <f t="shared" si="65"/>
        <v>2.4742133295720613E-4</v>
      </c>
      <c r="R547" s="3">
        <f t="shared" si="66"/>
        <v>2.0535655940256736E-4</v>
      </c>
      <c r="S547" s="14">
        <f t="shared" si="67"/>
        <v>1.4330267248120929E-2</v>
      </c>
    </row>
    <row r="548" spans="12:19" x14ac:dyDescent="0.35">
      <c r="L548" s="2">
        <v>0.2</v>
      </c>
      <c r="M548" s="2">
        <v>0</v>
      </c>
      <c r="N548" s="2">
        <v>0.6</v>
      </c>
      <c r="O548" s="2">
        <v>0</v>
      </c>
      <c r="P548" s="8">
        <v>0.2</v>
      </c>
      <c r="Q548" s="12">
        <f t="shared" si="65"/>
        <v>9.1402688640938141E-5</v>
      </c>
      <c r="R548" s="3">
        <f t="shared" si="66"/>
        <v>2.4086913334961388E-4</v>
      </c>
      <c r="S548" s="14">
        <f t="shared" si="67"/>
        <v>1.5519959192910717E-2</v>
      </c>
    </row>
    <row r="549" spans="12:19" x14ac:dyDescent="0.35">
      <c r="L549" s="2">
        <v>0.1</v>
      </c>
      <c r="M549" s="2">
        <v>0.1</v>
      </c>
      <c r="N549" s="2">
        <v>0.6</v>
      </c>
      <c r="O549" s="2">
        <v>0</v>
      </c>
      <c r="P549" s="8">
        <v>0.2</v>
      </c>
      <c r="Q549" s="12">
        <f t="shared" si="65"/>
        <v>1.9165887739035694E-4</v>
      </c>
      <c r="R549" s="3">
        <f t="shared" si="66"/>
        <v>2.2521474829149461E-4</v>
      </c>
      <c r="S549" s="14">
        <f t="shared" si="67"/>
        <v>1.5007156569167079E-2</v>
      </c>
    </row>
    <row r="550" spans="12:19" x14ac:dyDescent="0.35">
      <c r="L550" s="2">
        <v>0</v>
      </c>
      <c r="M550" s="2">
        <v>0.2</v>
      </c>
      <c r="N550" s="2">
        <v>0.6</v>
      </c>
      <c r="O550" s="2">
        <v>0</v>
      </c>
      <c r="P550" s="8">
        <v>0.2</v>
      </c>
      <c r="Q550" s="12">
        <f t="shared" si="65"/>
        <v>2.9191506613977574E-4</v>
      </c>
      <c r="R550" s="3">
        <f t="shared" si="66"/>
        <v>2.3412834331450584E-4</v>
      </c>
      <c r="S550" s="14">
        <f t="shared" si="67"/>
        <v>1.530125299818632E-2</v>
      </c>
    </row>
    <row r="551" spans="12:19" x14ac:dyDescent="0.35">
      <c r="L551" s="2">
        <v>0.1</v>
      </c>
      <c r="M551" s="2">
        <v>0</v>
      </c>
      <c r="N551" s="2">
        <v>0.7</v>
      </c>
      <c r="O551" s="2">
        <v>0</v>
      </c>
      <c r="P551" s="8">
        <v>0.2</v>
      </c>
      <c r="Q551" s="12">
        <f t="shared" si="65"/>
        <v>2.3615261057292658E-4</v>
      </c>
      <c r="R551" s="3">
        <f t="shared" si="66"/>
        <v>2.7247875813056472E-4</v>
      </c>
      <c r="S551" s="14">
        <f t="shared" si="67"/>
        <v>1.6506930609006772E-2</v>
      </c>
    </row>
    <row r="552" spans="12:19" x14ac:dyDescent="0.35">
      <c r="L552" s="2">
        <v>0</v>
      </c>
      <c r="M552" s="2">
        <v>0.1</v>
      </c>
      <c r="N552" s="2">
        <v>0.7</v>
      </c>
      <c r="O552" s="2">
        <v>0</v>
      </c>
      <c r="P552" s="8">
        <v>0.2</v>
      </c>
      <c r="Q552" s="12">
        <f t="shared" si="65"/>
        <v>3.3640879932234535E-4</v>
      </c>
      <c r="R552" s="3">
        <f t="shared" si="66"/>
        <v>2.7709866119638511E-4</v>
      </c>
      <c r="S552" s="14">
        <f t="shared" si="67"/>
        <v>1.6646280701597734E-2</v>
      </c>
    </row>
    <row r="553" spans="12:19" x14ac:dyDescent="0.35">
      <c r="L553" s="2">
        <v>0</v>
      </c>
      <c r="M553" s="2">
        <v>0</v>
      </c>
      <c r="N553" s="2">
        <v>0.8</v>
      </c>
      <c r="O553" s="2">
        <v>0</v>
      </c>
      <c r="P553" s="8">
        <v>0.2</v>
      </c>
      <c r="Q553" s="12">
        <f t="shared" si="65"/>
        <v>3.8090253250491502E-4</v>
      </c>
      <c r="R553" s="3">
        <f t="shared" si="66"/>
        <v>3.3426751304820528E-4</v>
      </c>
      <c r="S553" s="14">
        <f t="shared" si="67"/>
        <v>1.8282984248973285E-2</v>
      </c>
    </row>
    <row r="554" spans="12:19" x14ac:dyDescent="0.35">
      <c r="L554" s="2">
        <v>0.7</v>
      </c>
      <c r="M554" s="2">
        <v>0</v>
      </c>
      <c r="N554" s="2">
        <v>0</v>
      </c>
      <c r="O554" s="2">
        <v>0.1</v>
      </c>
      <c r="P554" s="8">
        <v>0.2</v>
      </c>
      <c r="Q554" s="12">
        <f t="shared" si="65"/>
        <v>-6.3454504908706116E-4</v>
      </c>
      <c r="R554" s="3">
        <f t="shared" si="66"/>
        <v>5.3761016581026829E-4</v>
      </c>
      <c r="S554" s="14">
        <f t="shared" si="67"/>
        <v>2.3186422013977668E-2</v>
      </c>
    </row>
    <row r="555" spans="12:19" x14ac:dyDescent="0.35">
      <c r="L555" s="2">
        <v>0.6</v>
      </c>
      <c r="M555" s="2">
        <v>0.1</v>
      </c>
      <c r="N555" s="2">
        <v>0</v>
      </c>
      <c r="O555" s="2">
        <v>0.1</v>
      </c>
      <c r="P555" s="8">
        <v>0.2</v>
      </c>
      <c r="Q555" s="12">
        <f t="shared" si="65"/>
        <v>-5.3428886033764233E-4</v>
      </c>
      <c r="R555" s="3">
        <f t="shared" si="66"/>
        <v>4.1924584602600408E-4</v>
      </c>
      <c r="S555" s="14">
        <f t="shared" si="67"/>
        <v>2.0475493791994471E-2</v>
      </c>
    </row>
    <row r="556" spans="12:19" x14ac:dyDescent="0.35">
      <c r="L556" s="2">
        <v>0.5</v>
      </c>
      <c r="M556" s="2">
        <v>0.2</v>
      </c>
      <c r="N556" s="2">
        <v>0</v>
      </c>
      <c r="O556" s="2">
        <v>0.1</v>
      </c>
      <c r="P556" s="8">
        <v>0.2</v>
      </c>
      <c r="Q556" s="12">
        <f t="shared" si="65"/>
        <v>-4.3403267158822361E-4</v>
      </c>
      <c r="R556" s="3">
        <f t="shared" si="66"/>
        <v>3.2544950632287036E-4</v>
      </c>
      <c r="S556" s="14">
        <f t="shared" si="67"/>
        <v>1.8040219131786352E-2</v>
      </c>
    </row>
    <row r="557" spans="12:19" x14ac:dyDescent="0.35">
      <c r="L557" s="2">
        <v>0.4</v>
      </c>
      <c r="M557" s="2">
        <v>0.3</v>
      </c>
      <c r="N557" s="2">
        <v>0</v>
      </c>
      <c r="O557" s="2">
        <v>0.1</v>
      </c>
      <c r="P557" s="8">
        <v>0.2</v>
      </c>
      <c r="Q557" s="12">
        <f t="shared" si="65"/>
        <v>-3.3377648283880484E-4</v>
      </c>
      <c r="R557" s="3">
        <f t="shared" si="66"/>
        <v>2.5622114670086711E-4</v>
      </c>
      <c r="S557" s="14">
        <f t="shared" si="67"/>
        <v>1.6006909342557891E-2</v>
      </c>
    </row>
    <row r="558" spans="12:19" x14ac:dyDescent="0.35">
      <c r="L558" s="2">
        <v>0.3</v>
      </c>
      <c r="M558" s="2">
        <v>0.4</v>
      </c>
      <c r="N558" s="2">
        <v>0</v>
      </c>
      <c r="O558" s="2">
        <v>0.1</v>
      </c>
      <c r="P558" s="8">
        <v>0.2</v>
      </c>
      <c r="Q558" s="12">
        <f t="shared" si="65"/>
        <v>-2.3352029408938596E-4</v>
      </c>
      <c r="R558" s="3">
        <f t="shared" si="66"/>
        <v>2.1156076715999437E-4</v>
      </c>
      <c r="S558" s="14">
        <f t="shared" si="67"/>
        <v>1.4545128640200964E-2</v>
      </c>
    </row>
    <row r="559" spans="12:19" x14ac:dyDescent="0.35">
      <c r="L559" s="2">
        <v>0.2</v>
      </c>
      <c r="M559" s="2">
        <v>0.5</v>
      </c>
      <c r="N559" s="2">
        <v>0</v>
      </c>
      <c r="O559" s="2">
        <v>0.1</v>
      </c>
      <c r="P559" s="8">
        <v>0.2</v>
      </c>
      <c r="Q559" s="12">
        <f t="shared" si="65"/>
        <v>-1.3326410533996718E-4</v>
      </c>
      <c r="R559" s="3">
        <f t="shared" si="66"/>
        <v>1.9146836770025209E-4</v>
      </c>
      <c r="S559" s="14">
        <f t="shared" si="67"/>
        <v>1.3837209534449208E-2</v>
      </c>
    </row>
    <row r="560" spans="12:19" x14ac:dyDescent="0.35">
      <c r="L560" s="2">
        <v>0.1</v>
      </c>
      <c r="M560" s="2">
        <v>0.6</v>
      </c>
      <c r="N560" s="2">
        <v>0</v>
      </c>
      <c r="O560" s="2">
        <v>0.1</v>
      </c>
      <c r="P560" s="8">
        <v>0.2</v>
      </c>
      <c r="Q560" s="12">
        <f t="shared" si="65"/>
        <v>-3.3007916590548325E-5</v>
      </c>
      <c r="R560" s="3">
        <f t="shared" si="66"/>
        <v>1.9594394832164028E-4</v>
      </c>
      <c r="S560" s="14">
        <f t="shared" si="67"/>
        <v>1.3997998011202897E-2</v>
      </c>
    </row>
    <row r="561" spans="12:19" x14ac:dyDescent="0.35">
      <c r="L561" s="2">
        <v>0</v>
      </c>
      <c r="M561" s="2">
        <v>0.7</v>
      </c>
      <c r="N561" s="2">
        <v>0</v>
      </c>
      <c r="O561" s="2">
        <v>0.1</v>
      </c>
      <c r="P561" s="8">
        <v>0.2</v>
      </c>
      <c r="Q561" s="12">
        <f t="shared" si="65"/>
        <v>6.724827215887049E-5</v>
      </c>
      <c r="R561" s="3">
        <f t="shared" si="66"/>
        <v>2.2498750902415898E-4</v>
      </c>
      <c r="S561" s="14">
        <f t="shared" si="67"/>
        <v>1.4999583628359788E-2</v>
      </c>
    </row>
    <row r="562" spans="12:19" x14ac:dyDescent="0.35">
      <c r="L562" s="2">
        <v>0.6</v>
      </c>
      <c r="M562" s="2">
        <v>0</v>
      </c>
      <c r="N562" s="2">
        <v>0.1</v>
      </c>
      <c r="O562" s="2">
        <v>0.1</v>
      </c>
      <c r="P562" s="8">
        <v>0.2</v>
      </c>
      <c r="Q562" s="12">
        <f t="shared" si="65"/>
        <v>-4.8979512715507272E-4</v>
      </c>
      <c r="R562" s="3">
        <f t="shared" si="66"/>
        <v>4.0926860641568076E-4</v>
      </c>
      <c r="S562" s="14">
        <f t="shared" si="67"/>
        <v>2.0230388192411949E-2</v>
      </c>
    </row>
    <row r="563" spans="12:19" x14ac:dyDescent="0.35">
      <c r="L563" s="2">
        <v>0.5</v>
      </c>
      <c r="M563" s="2">
        <v>0.1</v>
      </c>
      <c r="N563" s="2">
        <v>0.1</v>
      </c>
      <c r="O563" s="2">
        <v>0.1</v>
      </c>
      <c r="P563" s="8">
        <v>0.2</v>
      </c>
      <c r="Q563" s="12">
        <f t="shared" si="65"/>
        <v>-3.89538938405654E-4</v>
      </c>
      <c r="R563" s="3">
        <f t="shared" si="66"/>
        <v>3.1117857475535616E-4</v>
      </c>
      <c r="S563" s="14">
        <f t="shared" si="67"/>
        <v>1.7640254384655458E-2</v>
      </c>
    </row>
    <row r="564" spans="12:19" x14ac:dyDescent="0.35">
      <c r="L564" s="2">
        <v>0.4</v>
      </c>
      <c r="M564" s="2">
        <v>0.2</v>
      </c>
      <c r="N564" s="2">
        <v>0.1</v>
      </c>
      <c r="O564" s="2">
        <v>0.1</v>
      </c>
      <c r="P564" s="8">
        <v>0.2</v>
      </c>
      <c r="Q564" s="12">
        <f t="shared" si="65"/>
        <v>-2.8928274965623517E-4</v>
      </c>
      <c r="R564" s="3">
        <f t="shared" si="66"/>
        <v>2.37656523176162E-4</v>
      </c>
      <c r="S564" s="14">
        <f t="shared" si="67"/>
        <v>1.5416112453409323E-2</v>
      </c>
    </row>
    <row r="565" spans="12:19" x14ac:dyDescent="0.35">
      <c r="L565" s="2">
        <v>0.3</v>
      </c>
      <c r="M565" s="2">
        <v>0.3</v>
      </c>
      <c r="N565" s="2">
        <v>0.1</v>
      </c>
      <c r="O565" s="2">
        <v>0.1</v>
      </c>
      <c r="P565" s="8">
        <v>0.2</v>
      </c>
      <c r="Q565" s="12">
        <f t="shared" si="65"/>
        <v>-1.8902656090681634E-4</v>
      </c>
      <c r="R565" s="3">
        <f t="shared" si="66"/>
        <v>1.8870245167809831E-4</v>
      </c>
      <c r="S565" s="14">
        <f t="shared" si="67"/>
        <v>1.3736901094428041E-2</v>
      </c>
    </row>
    <row r="566" spans="12:19" x14ac:dyDescent="0.35">
      <c r="L566" s="2">
        <v>0.2</v>
      </c>
      <c r="M566" s="2">
        <v>0.4</v>
      </c>
      <c r="N566" s="2">
        <v>0.1</v>
      </c>
      <c r="O566" s="2">
        <v>0.1</v>
      </c>
      <c r="P566" s="8">
        <v>0.2</v>
      </c>
      <c r="Q566" s="12">
        <f t="shared" si="65"/>
        <v>-8.8770372157397488E-5</v>
      </c>
      <c r="R566" s="3">
        <f t="shared" si="66"/>
        <v>1.6431636026116521E-4</v>
      </c>
      <c r="S566" s="14">
        <f t="shared" si="67"/>
        <v>1.2818594316896265E-2</v>
      </c>
    </row>
    <row r="567" spans="12:19" x14ac:dyDescent="0.35">
      <c r="L567" s="2">
        <v>0.1</v>
      </c>
      <c r="M567" s="2">
        <v>0.5</v>
      </c>
      <c r="N567" s="2">
        <v>0.1</v>
      </c>
      <c r="O567" s="2">
        <v>0.1</v>
      </c>
      <c r="P567" s="8">
        <v>0.2</v>
      </c>
      <c r="Q567" s="12">
        <f t="shared" si="65"/>
        <v>1.1485816592021259E-5</v>
      </c>
      <c r="R567" s="3">
        <f t="shared" si="66"/>
        <v>1.6449824892536251E-4</v>
      </c>
      <c r="S567" s="14">
        <f t="shared" si="67"/>
        <v>1.28256870742024E-2</v>
      </c>
    </row>
    <row r="568" spans="12:19" x14ac:dyDescent="0.35">
      <c r="L568" s="2">
        <v>0</v>
      </c>
      <c r="M568" s="2">
        <v>0.6</v>
      </c>
      <c r="N568" s="2">
        <v>0.1</v>
      </c>
      <c r="O568" s="2">
        <v>0.1</v>
      </c>
      <c r="P568" s="8">
        <v>0.2</v>
      </c>
      <c r="Q568" s="12">
        <f t="shared" si="65"/>
        <v>1.1174200534144009E-4</v>
      </c>
      <c r="R568" s="3">
        <f t="shared" si="66"/>
        <v>1.8924811767069032E-4</v>
      </c>
      <c r="S568" s="14">
        <f t="shared" si="67"/>
        <v>1.3756748077605054E-2</v>
      </c>
    </row>
    <row r="569" spans="12:19" x14ac:dyDescent="0.35">
      <c r="L569" s="2">
        <v>0.5</v>
      </c>
      <c r="M569" s="2">
        <v>0</v>
      </c>
      <c r="N569" s="2">
        <v>0.2</v>
      </c>
      <c r="O569" s="2">
        <v>0.1</v>
      </c>
      <c r="P569" s="8">
        <v>0.2</v>
      </c>
      <c r="Q569" s="12">
        <f t="shared" si="65"/>
        <v>-3.4504520522308428E-4</v>
      </c>
      <c r="R569" s="3">
        <f t="shared" si="66"/>
        <v>3.1110617715778271E-4</v>
      </c>
      <c r="S569" s="14">
        <f t="shared" si="67"/>
        <v>1.763820220877918E-2</v>
      </c>
    </row>
    <row r="570" spans="12:19" x14ac:dyDescent="0.35">
      <c r="L570" s="2">
        <v>0.4</v>
      </c>
      <c r="M570" s="2">
        <v>0.1</v>
      </c>
      <c r="N570" s="2">
        <v>0.2</v>
      </c>
      <c r="O570" s="2">
        <v>0.1</v>
      </c>
      <c r="P570" s="8">
        <v>0.2</v>
      </c>
      <c r="Q570" s="12">
        <f t="shared" si="65"/>
        <v>-2.4478901647366556E-4</v>
      </c>
      <c r="R570" s="3">
        <f t="shared" si="66"/>
        <v>2.332904336213977E-4</v>
      </c>
      <c r="S570" s="14">
        <f t="shared" si="67"/>
        <v>1.5273848029275325E-2</v>
      </c>
    </row>
    <row r="571" spans="12:19" x14ac:dyDescent="0.35">
      <c r="L571" s="2">
        <v>0.3</v>
      </c>
      <c r="M571" s="2">
        <v>0.2</v>
      </c>
      <c r="N571" s="2">
        <v>0.2</v>
      </c>
      <c r="O571" s="2">
        <v>0.1</v>
      </c>
      <c r="P571" s="8">
        <v>0.2</v>
      </c>
      <c r="Q571" s="12">
        <f t="shared" si="65"/>
        <v>-1.4453282772424673E-4</v>
      </c>
      <c r="R571" s="3">
        <f t="shared" si="66"/>
        <v>1.8004267016614317E-4</v>
      </c>
      <c r="S571" s="14">
        <f t="shared" si="67"/>
        <v>1.3417997993968518E-2</v>
      </c>
    </row>
    <row r="572" spans="12:19" x14ac:dyDescent="0.35">
      <c r="L572" s="2">
        <v>0.2</v>
      </c>
      <c r="M572" s="2">
        <v>0.3</v>
      </c>
      <c r="N572" s="2">
        <v>0.2</v>
      </c>
      <c r="O572" s="2">
        <v>0.1</v>
      </c>
      <c r="P572" s="8">
        <v>0.2</v>
      </c>
      <c r="Q572" s="12">
        <f t="shared" si="65"/>
        <v>-4.4276638974827931E-5</v>
      </c>
      <c r="R572" s="3">
        <f t="shared" si="66"/>
        <v>1.5136288679201909E-4</v>
      </c>
      <c r="S572" s="14">
        <f t="shared" si="67"/>
        <v>1.2302962520954825E-2</v>
      </c>
    </row>
    <row r="573" spans="12:19" x14ac:dyDescent="0.35">
      <c r="L573" s="2">
        <v>0.1</v>
      </c>
      <c r="M573" s="2">
        <v>0.4</v>
      </c>
      <c r="N573" s="2">
        <v>0.2</v>
      </c>
      <c r="O573" s="2">
        <v>0.1</v>
      </c>
      <c r="P573" s="8">
        <v>0.2</v>
      </c>
      <c r="Q573" s="12">
        <f t="shared" si="65"/>
        <v>5.5979549774590911E-5</v>
      </c>
      <c r="R573" s="3">
        <f t="shared" si="66"/>
        <v>1.4725108349902558E-4</v>
      </c>
      <c r="S573" s="14">
        <f t="shared" si="67"/>
        <v>1.2134705744229052E-2</v>
      </c>
    </row>
    <row r="574" spans="12:19" x14ac:dyDescent="0.35">
      <c r="L574" s="2">
        <v>0</v>
      </c>
      <c r="M574" s="2">
        <v>0.5</v>
      </c>
      <c r="N574" s="2">
        <v>0.2</v>
      </c>
      <c r="O574" s="2">
        <v>0.1</v>
      </c>
      <c r="P574" s="8">
        <v>0.2</v>
      </c>
      <c r="Q574" s="12">
        <f t="shared" si="65"/>
        <v>1.562357385240097E-4</v>
      </c>
      <c r="R574" s="3">
        <f t="shared" si="66"/>
        <v>1.677072602871625E-4</v>
      </c>
      <c r="S574" s="14">
        <f t="shared" si="67"/>
        <v>1.2950183793566888E-2</v>
      </c>
    </row>
    <row r="575" spans="12:19" x14ac:dyDescent="0.35">
      <c r="L575" s="2">
        <v>0.4</v>
      </c>
      <c r="M575" s="2">
        <v>0</v>
      </c>
      <c r="N575" s="2">
        <v>0.3</v>
      </c>
      <c r="O575" s="2">
        <v>0.1</v>
      </c>
      <c r="P575" s="8">
        <v>0.2</v>
      </c>
      <c r="Q575" s="12">
        <f t="shared" si="65"/>
        <v>-2.0029528329109595E-4</v>
      </c>
      <c r="R575" s="3">
        <f t="shared" si="66"/>
        <v>2.4312287803657419E-4</v>
      </c>
      <c r="S575" s="14">
        <f t="shared" si="67"/>
        <v>1.5592398084854497E-2</v>
      </c>
    </row>
    <row r="576" spans="12:19" x14ac:dyDescent="0.35">
      <c r="L576" s="2">
        <v>0.3</v>
      </c>
      <c r="M576" s="2">
        <v>0.1</v>
      </c>
      <c r="N576" s="2">
        <v>0.3</v>
      </c>
      <c r="O576" s="2">
        <v>0.1</v>
      </c>
      <c r="P576" s="8">
        <v>0.2</v>
      </c>
      <c r="Q576" s="12">
        <f t="shared" si="65"/>
        <v>-1.0003909454167707E-4</v>
      </c>
      <c r="R576" s="3">
        <f t="shared" si="66"/>
        <v>1.8558142262412874E-4</v>
      </c>
      <c r="S576" s="14">
        <f t="shared" si="67"/>
        <v>1.362282726250791E-2</v>
      </c>
    </row>
    <row r="577" spans="12:19" x14ac:dyDescent="0.35">
      <c r="L577" s="2">
        <v>0.2</v>
      </c>
      <c r="M577" s="2">
        <v>0.2</v>
      </c>
      <c r="N577" s="2">
        <v>0.3</v>
      </c>
      <c r="O577" s="2">
        <v>0.1</v>
      </c>
      <c r="P577" s="8">
        <v>0.2</v>
      </c>
      <c r="Q577" s="12">
        <f t="shared" si="65"/>
        <v>2.1709420774167969E-7</v>
      </c>
      <c r="R577" s="3">
        <f t="shared" si="66"/>
        <v>1.5260794729281382E-4</v>
      </c>
      <c r="S577" s="14">
        <f t="shared" si="67"/>
        <v>1.2353458920189674E-2</v>
      </c>
    </row>
    <row r="578" spans="12:19" x14ac:dyDescent="0.35">
      <c r="L578" s="2">
        <v>0.1</v>
      </c>
      <c r="M578" s="2">
        <v>0.3</v>
      </c>
      <c r="N578" s="2">
        <v>0.3</v>
      </c>
      <c r="O578" s="2">
        <v>0.1</v>
      </c>
      <c r="P578" s="8">
        <v>0.2</v>
      </c>
      <c r="Q578" s="12">
        <f t="shared" si="65"/>
        <v>1.0047328295716049E-4</v>
      </c>
      <c r="R578" s="3">
        <f t="shared" si="66"/>
        <v>1.4420245204262939E-4</v>
      </c>
      <c r="S578" s="14">
        <f t="shared" si="67"/>
        <v>1.200843253895484E-2</v>
      </c>
    </row>
    <row r="579" spans="12:19" x14ac:dyDescent="0.35">
      <c r="L579" s="2">
        <v>0</v>
      </c>
      <c r="M579" s="2">
        <v>0.4</v>
      </c>
      <c r="N579" s="2">
        <v>0.3</v>
      </c>
      <c r="O579" s="2">
        <v>0.1</v>
      </c>
      <c r="P579" s="8">
        <v>0.2</v>
      </c>
      <c r="Q579" s="12">
        <f t="shared" ref="Q579:Q642" si="68">SUMPRODUCT($U$5:$Y$5,L579:P579)</f>
        <v>2.0072947170657931E-4</v>
      </c>
      <c r="R579" s="3">
        <f t="shared" ref="R579:R642" si="69">POWER(L579,2)*$V$9+POWER(M579,2)*$W$10+POWER(N579,2)*$X$11+POWER(O579,2)*$Y$12+POWER(P579,2)*$Z$13+2*(L579*M579*$V$10+N579*O579*$X$12+N579*P579*$X$13+$O$3*P579*$Y$13+L579*N579*$V$11+L579*O579*$V$12+L579*P579*$V$13+M579*N579*$W$11+M579*O579*$W$12+M579*P579*$W$13)</f>
        <v>1.6036493687357546E-4</v>
      </c>
      <c r="S579" s="14">
        <f t="shared" si="67"/>
        <v>1.2663527821013206E-2</v>
      </c>
    </row>
    <row r="580" spans="12:19" x14ac:dyDescent="0.35">
      <c r="L580" s="2">
        <v>0.3</v>
      </c>
      <c r="M580" s="2">
        <v>0</v>
      </c>
      <c r="N580" s="2">
        <v>0.4</v>
      </c>
      <c r="O580" s="2">
        <v>0.1</v>
      </c>
      <c r="P580" s="8">
        <v>0.2</v>
      </c>
      <c r="Q580" s="12">
        <f t="shared" si="68"/>
        <v>-5.5545361359107457E-5</v>
      </c>
      <c r="R580" s="3">
        <f t="shared" si="69"/>
        <v>2.053187090520552E-4</v>
      </c>
      <c r="S580" s="14">
        <f t="shared" ref="S580:S643" si="70">SQRT(R580)</f>
        <v>1.4328946543694522E-2</v>
      </c>
    </row>
    <row r="581" spans="12:19" x14ac:dyDescent="0.35">
      <c r="L581" s="2">
        <v>0.2</v>
      </c>
      <c r="M581" s="2">
        <v>0.1</v>
      </c>
      <c r="N581" s="2">
        <v>0.4</v>
      </c>
      <c r="O581" s="2">
        <v>0.1</v>
      </c>
      <c r="P581" s="8">
        <v>0.2</v>
      </c>
      <c r="Q581" s="12">
        <f t="shared" si="68"/>
        <v>4.4710827390311318E-5</v>
      </c>
      <c r="R581" s="3">
        <f t="shared" si="69"/>
        <v>1.6805154176354942E-4</v>
      </c>
      <c r="S581" s="14">
        <f t="shared" si="70"/>
        <v>1.2963469511035594E-2</v>
      </c>
    </row>
    <row r="582" spans="12:19" x14ac:dyDescent="0.35">
      <c r="L582" s="2">
        <v>0.1</v>
      </c>
      <c r="M582" s="2">
        <v>0.2</v>
      </c>
      <c r="N582" s="2">
        <v>0.4</v>
      </c>
      <c r="O582" s="2">
        <v>0.1</v>
      </c>
      <c r="P582" s="8">
        <v>0.2</v>
      </c>
      <c r="Q582" s="12">
        <f t="shared" si="68"/>
        <v>1.4496701613973015E-4</v>
      </c>
      <c r="R582" s="3">
        <f t="shared" si="69"/>
        <v>1.5535235455617409E-4</v>
      </c>
      <c r="S582" s="14">
        <f t="shared" si="70"/>
        <v>1.2464042464472516E-2</v>
      </c>
    </row>
    <row r="583" spans="12:19" x14ac:dyDescent="0.35">
      <c r="L583" s="2">
        <v>0</v>
      </c>
      <c r="M583" s="2">
        <v>0.3</v>
      </c>
      <c r="N583" s="2">
        <v>0.4</v>
      </c>
      <c r="O583" s="2">
        <v>0.1</v>
      </c>
      <c r="P583" s="8">
        <v>0.2</v>
      </c>
      <c r="Q583" s="12">
        <f t="shared" si="68"/>
        <v>2.4522320488914898E-4</v>
      </c>
      <c r="R583" s="3">
        <f t="shared" si="69"/>
        <v>1.6722114742992927E-4</v>
      </c>
      <c r="S583" s="14">
        <f t="shared" si="70"/>
        <v>1.2931401603458507E-2</v>
      </c>
    </row>
    <row r="584" spans="12:19" x14ac:dyDescent="0.35">
      <c r="L584" s="2">
        <v>0.2</v>
      </c>
      <c r="M584" s="2">
        <v>0</v>
      </c>
      <c r="N584" s="2">
        <v>0.5</v>
      </c>
      <c r="O584" s="2">
        <v>0.1</v>
      </c>
      <c r="P584" s="8">
        <v>0.2</v>
      </c>
      <c r="Q584" s="12">
        <f t="shared" si="68"/>
        <v>8.9204560572880929E-5</v>
      </c>
      <c r="R584" s="3">
        <f t="shared" si="69"/>
        <v>1.9769367020422575E-4</v>
      </c>
      <c r="S584" s="14">
        <f t="shared" si="70"/>
        <v>1.4060358110810184E-2</v>
      </c>
    </row>
    <row r="585" spans="12:19" x14ac:dyDescent="0.35">
      <c r="L585" s="2">
        <v>0.1</v>
      </c>
      <c r="M585" s="2">
        <v>0.1</v>
      </c>
      <c r="N585" s="2">
        <v>0.5</v>
      </c>
      <c r="O585" s="2">
        <v>0.1</v>
      </c>
      <c r="P585" s="8">
        <v>0.2</v>
      </c>
      <c r="Q585" s="12">
        <f t="shared" si="68"/>
        <v>1.8946074932229973E-4</v>
      </c>
      <c r="R585" s="3">
        <f t="shared" si="69"/>
        <v>1.8070079103965956E-4</v>
      </c>
      <c r="S585" s="14">
        <f t="shared" si="70"/>
        <v>1.3442499434244345E-2</v>
      </c>
    </row>
    <row r="586" spans="12:19" x14ac:dyDescent="0.35">
      <c r="L586" s="2">
        <v>0</v>
      </c>
      <c r="M586" s="2">
        <v>0.2</v>
      </c>
      <c r="N586" s="2">
        <v>0.5</v>
      </c>
      <c r="O586" s="2">
        <v>0.1</v>
      </c>
      <c r="P586" s="8">
        <v>0.2</v>
      </c>
      <c r="Q586" s="12">
        <f t="shared" si="68"/>
        <v>2.8971693807171859E-4</v>
      </c>
      <c r="R586" s="3">
        <f t="shared" si="69"/>
        <v>1.8827589195622384E-4</v>
      </c>
      <c r="S586" s="14">
        <f t="shared" si="70"/>
        <v>1.3721366256908379E-2</v>
      </c>
    </row>
    <row r="587" spans="12:19" x14ac:dyDescent="0.35">
      <c r="L587" s="2">
        <v>0.1</v>
      </c>
      <c r="M587" s="2">
        <v>0</v>
      </c>
      <c r="N587" s="2">
        <v>0.6</v>
      </c>
      <c r="O587" s="2">
        <v>0.1</v>
      </c>
      <c r="P587" s="8">
        <v>0.2</v>
      </c>
      <c r="Q587" s="12">
        <f t="shared" si="68"/>
        <v>2.3395448250486937E-4</v>
      </c>
      <c r="R587" s="3">
        <f t="shared" si="69"/>
        <v>2.2024776149308584E-4</v>
      </c>
      <c r="S587" s="14">
        <f t="shared" si="70"/>
        <v>1.4840746662250045E-2</v>
      </c>
    </row>
    <row r="588" spans="12:19" x14ac:dyDescent="0.35">
      <c r="L588" s="2">
        <v>0</v>
      </c>
      <c r="M588" s="2">
        <v>0.1</v>
      </c>
      <c r="N588" s="2">
        <v>0.6</v>
      </c>
      <c r="O588" s="2">
        <v>0.1</v>
      </c>
      <c r="P588" s="8">
        <v>0.2</v>
      </c>
      <c r="Q588" s="12">
        <f t="shared" si="68"/>
        <v>3.342106712542882E-4</v>
      </c>
      <c r="R588" s="3">
        <f t="shared" si="69"/>
        <v>2.235291704524592E-4</v>
      </c>
      <c r="S588" s="14">
        <f t="shared" si="70"/>
        <v>1.4950891961768006E-2</v>
      </c>
    </row>
    <row r="589" spans="12:19" x14ac:dyDescent="0.35">
      <c r="L589" s="2">
        <v>0</v>
      </c>
      <c r="M589" s="2">
        <v>0</v>
      </c>
      <c r="N589" s="2">
        <v>0.7</v>
      </c>
      <c r="O589" s="2">
        <v>0.1</v>
      </c>
      <c r="P589" s="8">
        <v>0.2</v>
      </c>
      <c r="Q589" s="12">
        <f t="shared" si="68"/>
        <v>3.7870440443685781E-4</v>
      </c>
      <c r="R589" s="3">
        <f t="shared" si="69"/>
        <v>2.7298098291863546E-4</v>
      </c>
      <c r="S589" s="14">
        <f t="shared" si="70"/>
        <v>1.6522136148774329E-2</v>
      </c>
    </row>
    <row r="590" spans="12:19" x14ac:dyDescent="0.35">
      <c r="L590" s="2">
        <v>0.6</v>
      </c>
      <c r="M590" s="2">
        <v>0</v>
      </c>
      <c r="N590" s="2">
        <v>0</v>
      </c>
      <c r="O590" s="2">
        <v>0.2</v>
      </c>
      <c r="P590" s="8">
        <v>0.2</v>
      </c>
      <c r="Q590" s="12">
        <f t="shared" si="68"/>
        <v>-4.9199325522312999E-4</v>
      </c>
      <c r="R590" s="3">
        <f t="shared" si="69"/>
        <v>4.1402516155030096E-4</v>
      </c>
      <c r="S590" s="14">
        <f t="shared" si="70"/>
        <v>2.0347608251347404E-2</v>
      </c>
    </row>
    <row r="591" spans="12:19" x14ac:dyDescent="0.35">
      <c r="L591" s="2">
        <v>0.5</v>
      </c>
      <c r="M591" s="2">
        <v>0.1</v>
      </c>
      <c r="N591" s="2">
        <v>0</v>
      </c>
      <c r="O591" s="2">
        <v>0.2</v>
      </c>
      <c r="P591" s="8">
        <v>0.2</v>
      </c>
      <c r="Q591" s="12">
        <f t="shared" si="68"/>
        <v>-3.9173706647371127E-4</v>
      </c>
      <c r="R591" s="3">
        <f t="shared" si="69"/>
        <v>3.1459663578352944E-4</v>
      </c>
      <c r="S591" s="14">
        <f t="shared" si="70"/>
        <v>1.7736872209708494E-2</v>
      </c>
    </row>
    <row r="592" spans="12:19" x14ac:dyDescent="0.35">
      <c r="L592" s="2">
        <v>0.4</v>
      </c>
      <c r="M592" s="2">
        <v>0.2</v>
      </c>
      <c r="N592" s="2">
        <v>0</v>
      </c>
      <c r="O592" s="2">
        <v>0.2</v>
      </c>
      <c r="P592" s="8">
        <v>0.2</v>
      </c>
      <c r="Q592" s="12">
        <f t="shared" si="68"/>
        <v>-2.9148087772429238E-4</v>
      </c>
      <c r="R592" s="3">
        <f t="shared" si="69"/>
        <v>2.3973609009788837E-4</v>
      </c>
      <c r="S592" s="14">
        <f t="shared" si="70"/>
        <v>1.5483413386520699E-2</v>
      </c>
    </row>
    <row r="593" spans="12:19" x14ac:dyDescent="0.35">
      <c r="L593" s="2">
        <v>0.3</v>
      </c>
      <c r="M593" s="2">
        <v>0.3</v>
      </c>
      <c r="N593" s="2">
        <v>0</v>
      </c>
      <c r="O593" s="2">
        <v>0.2</v>
      </c>
      <c r="P593" s="8">
        <v>0.2</v>
      </c>
      <c r="Q593" s="12">
        <f t="shared" si="68"/>
        <v>-1.9122468897487356E-4</v>
      </c>
      <c r="R593" s="3">
        <f t="shared" si="69"/>
        <v>1.8944352449337773E-4</v>
      </c>
      <c r="S593" s="14">
        <f t="shared" si="70"/>
        <v>1.3763848462307979E-2</v>
      </c>
    </row>
    <row r="594" spans="12:19" x14ac:dyDescent="0.35">
      <c r="L594" s="2">
        <v>0.2</v>
      </c>
      <c r="M594" s="2">
        <v>0.4</v>
      </c>
      <c r="N594" s="2">
        <v>0</v>
      </c>
      <c r="O594" s="2">
        <v>0.2</v>
      </c>
      <c r="P594" s="8">
        <v>0.2</v>
      </c>
      <c r="Q594" s="12">
        <f t="shared" si="68"/>
        <v>-9.0968500225454727E-5</v>
      </c>
      <c r="R594" s="3">
        <f t="shared" si="69"/>
        <v>1.6371893896999768E-4</v>
      </c>
      <c r="S594" s="14">
        <f t="shared" si="70"/>
        <v>1.279527017964051E-2</v>
      </c>
    </row>
    <row r="595" spans="12:19" x14ac:dyDescent="0.35">
      <c r="L595" s="2">
        <v>0.1</v>
      </c>
      <c r="M595" s="2">
        <v>0.5</v>
      </c>
      <c r="N595" s="2">
        <v>0</v>
      </c>
      <c r="O595" s="2">
        <v>0.2</v>
      </c>
      <c r="P595" s="8">
        <v>0.2</v>
      </c>
      <c r="Q595" s="12">
        <f t="shared" si="68"/>
        <v>9.2876885239640472E-6</v>
      </c>
      <c r="R595" s="3">
        <f t="shared" si="69"/>
        <v>1.6256233352774806E-4</v>
      </c>
      <c r="S595" s="14">
        <f t="shared" si="70"/>
        <v>1.2749993471674723E-2</v>
      </c>
    </row>
    <row r="596" spans="12:19" x14ac:dyDescent="0.35">
      <c r="L596" s="2">
        <v>0</v>
      </c>
      <c r="M596" s="2">
        <v>0.6</v>
      </c>
      <c r="N596" s="2">
        <v>0</v>
      </c>
      <c r="O596" s="2">
        <v>0.2</v>
      </c>
      <c r="P596" s="8">
        <v>0.2</v>
      </c>
      <c r="Q596" s="12">
        <f t="shared" si="68"/>
        <v>1.0954387727338288E-4</v>
      </c>
      <c r="R596" s="3">
        <f t="shared" si="69"/>
        <v>1.8597370816662891E-4</v>
      </c>
      <c r="S596" s="14">
        <f t="shared" si="70"/>
        <v>1.3637217757542369E-2</v>
      </c>
    </row>
    <row r="597" spans="12:19" x14ac:dyDescent="0.35">
      <c r="L597" s="2">
        <v>0.5</v>
      </c>
      <c r="M597" s="2">
        <v>0</v>
      </c>
      <c r="N597" s="2">
        <v>0.1</v>
      </c>
      <c r="O597" s="2">
        <v>0.2</v>
      </c>
      <c r="P597" s="8">
        <v>0.2</v>
      </c>
      <c r="Q597" s="12">
        <f t="shared" si="68"/>
        <v>-3.4724333329114166E-4</v>
      </c>
      <c r="R597" s="3">
        <f t="shared" si="69"/>
        <v>3.0680719880031218E-4</v>
      </c>
      <c r="S597" s="14">
        <f t="shared" si="70"/>
        <v>1.7515912731008686E-2</v>
      </c>
    </row>
    <row r="598" spans="12:19" x14ac:dyDescent="0.35">
      <c r="L598" s="2">
        <v>0.4</v>
      </c>
      <c r="M598" s="2">
        <v>0.1</v>
      </c>
      <c r="N598" s="2">
        <v>0.1</v>
      </c>
      <c r="O598" s="2">
        <v>0.2</v>
      </c>
      <c r="P598" s="8">
        <v>0.2</v>
      </c>
      <c r="Q598" s="12">
        <f t="shared" si="68"/>
        <v>-2.4698714454172272E-4</v>
      </c>
      <c r="R598" s="3">
        <f t="shared" si="69"/>
        <v>2.2765296115748019E-4</v>
      </c>
      <c r="S598" s="14">
        <f t="shared" si="70"/>
        <v>1.508817288996518E-2</v>
      </c>
    </row>
    <row r="599" spans="12:19" x14ac:dyDescent="0.35">
      <c r="L599" s="2">
        <v>0.3</v>
      </c>
      <c r="M599" s="2">
        <v>0.2</v>
      </c>
      <c r="N599" s="2">
        <v>0.1</v>
      </c>
      <c r="O599" s="2">
        <v>0.2</v>
      </c>
      <c r="P599" s="8">
        <v>0.2</v>
      </c>
      <c r="Q599" s="12">
        <f t="shared" si="68"/>
        <v>-1.4673095579230389E-4</v>
      </c>
      <c r="R599" s="3">
        <f t="shared" si="69"/>
        <v>1.7306670359577871E-4</v>
      </c>
      <c r="S599" s="14">
        <f t="shared" si="70"/>
        <v>1.3155481883829976E-2</v>
      </c>
    </row>
    <row r="600" spans="12:19" x14ac:dyDescent="0.35">
      <c r="L600" s="2">
        <v>0.2</v>
      </c>
      <c r="M600" s="2">
        <v>0.3</v>
      </c>
      <c r="N600" s="2">
        <v>0.1</v>
      </c>
      <c r="O600" s="2">
        <v>0.2</v>
      </c>
      <c r="P600" s="8">
        <v>0.2</v>
      </c>
      <c r="Q600" s="12">
        <f t="shared" si="68"/>
        <v>-4.6474767042885116E-5</v>
      </c>
      <c r="R600" s="3">
        <f t="shared" si="69"/>
        <v>1.4304842611520771E-4</v>
      </c>
      <c r="S600" s="14">
        <f t="shared" si="70"/>
        <v>1.1960285369304852E-2</v>
      </c>
    </row>
    <row r="601" spans="12:19" x14ac:dyDescent="0.35">
      <c r="L601" s="2">
        <v>0.1</v>
      </c>
      <c r="M601" s="2">
        <v>0.4</v>
      </c>
      <c r="N601" s="2">
        <v>0.1</v>
      </c>
      <c r="O601" s="2">
        <v>0.2</v>
      </c>
      <c r="P601" s="8">
        <v>0.2</v>
      </c>
      <c r="Q601" s="12">
        <f t="shared" si="68"/>
        <v>5.3781421706533685E-5</v>
      </c>
      <c r="R601" s="3">
        <f t="shared" si="69"/>
        <v>1.3759812871576724E-4</v>
      </c>
      <c r="S601" s="14">
        <f t="shared" si="70"/>
        <v>1.1730222875792567E-2</v>
      </c>
    </row>
    <row r="602" spans="12:19" x14ac:dyDescent="0.35">
      <c r="L602" s="2">
        <v>0</v>
      </c>
      <c r="M602" s="2">
        <v>0.5</v>
      </c>
      <c r="N602" s="2">
        <v>0.1</v>
      </c>
      <c r="O602" s="2">
        <v>0.2</v>
      </c>
      <c r="P602" s="8">
        <v>0.2</v>
      </c>
      <c r="Q602" s="12">
        <f t="shared" si="68"/>
        <v>1.5403761045595249E-4</v>
      </c>
      <c r="R602" s="3">
        <f t="shared" si="69"/>
        <v>1.5671581139745723E-4</v>
      </c>
      <c r="S602" s="14">
        <f t="shared" si="70"/>
        <v>1.2518618589822809E-2</v>
      </c>
    </row>
    <row r="603" spans="12:19" x14ac:dyDescent="0.35">
      <c r="L603" s="2">
        <v>0.4</v>
      </c>
      <c r="M603" s="2">
        <v>0</v>
      </c>
      <c r="N603" s="2">
        <v>0.2</v>
      </c>
      <c r="O603" s="2">
        <v>0.2</v>
      </c>
      <c r="P603" s="8">
        <v>0.2</v>
      </c>
      <c r="Q603" s="12">
        <f t="shared" si="68"/>
        <v>-2.0249341135915316E-4</v>
      </c>
      <c r="R603" s="3">
        <f t="shared" si="69"/>
        <v>2.2976836618701288E-4</v>
      </c>
      <c r="S603" s="14">
        <f t="shared" si="70"/>
        <v>1.5158112223724063E-2</v>
      </c>
    </row>
    <row r="604" spans="12:19" x14ac:dyDescent="0.35">
      <c r="L604" s="2">
        <v>0.3</v>
      </c>
      <c r="M604" s="2">
        <v>0.1</v>
      </c>
      <c r="N604" s="2">
        <v>0.2</v>
      </c>
      <c r="O604" s="2">
        <v>0.2</v>
      </c>
      <c r="P604" s="8">
        <v>0.2</v>
      </c>
      <c r="Q604" s="12">
        <f t="shared" si="68"/>
        <v>-1.0223722260973428E-4</v>
      </c>
      <c r="R604" s="3">
        <f t="shared" si="69"/>
        <v>1.7088841666812048E-4</v>
      </c>
      <c r="S604" s="14">
        <f t="shared" si="70"/>
        <v>1.3072429639057939E-2</v>
      </c>
    </row>
    <row r="605" spans="12:19" x14ac:dyDescent="0.35">
      <c r="L605" s="2">
        <v>0.2</v>
      </c>
      <c r="M605" s="2">
        <v>0.2</v>
      </c>
      <c r="N605" s="2">
        <v>0.2</v>
      </c>
      <c r="O605" s="2">
        <v>0.2</v>
      </c>
      <c r="P605" s="8">
        <v>0.2</v>
      </c>
      <c r="Q605" s="12">
        <f t="shared" si="68"/>
        <v>-1.9810338603155593E-6</v>
      </c>
      <c r="R605" s="3">
        <f t="shared" si="69"/>
        <v>1.3657644723035864E-4</v>
      </c>
      <c r="S605" s="14">
        <f t="shared" si="70"/>
        <v>1.1686592627038842E-2</v>
      </c>
    </row>
    <row r="606" spans="12:19" x14ac:dyDescent="0.35">
      <c r="L606" s="2">
        <v>0.1</v>
      </c>
      <c r="M606" s="2">
        <v>0.3</v>
      </c>
      <c r="N606" s="2">
        <v>0.2</v>
      </c>
      <c r="O606" s="2">
        <v>0.2</v>
      </c>
      <c r="P606" s="8">
        <v>0.2</v>
      </c>
      <c r="Q606" s="12">
        <f t="shared" si="68"/>
        <v>9.8275154889103269E-5</v>
      </c>
      <c r="R606" s="3">
        <f t="shared" si="69"/>
        <v>1.2683245787372722E-4</v>
      </c>
      <c r="S606" s="14">
        <f t="shared" si="70"/>
        <v>1.1261991736532541E-2</v>
      </c>
    </row>
    <row r="607" spans="12:19" x14ac:dyDescent="0.35">
      <c r="L607" s="2">
        <v>0</v>
      </c>
      <c r="M607" s="2">
        <v>0.4</v>
      </c>
      <c r="N607" s="2">
        <v>0.2</v>
      </c>
      <c r="O607" s="2">
        <v>0.2</v>
      </c>
      <c r="P607" s="8">
        <v>0.2</v>
      </c>
      <c r="Q607" s="12">
        <f t="shared" si="68"/>
        <v>1.985313436385221E-4</v>
      </c>
      <c r="R607" s="3">
        <f t="shared" si="69"/>
        <v>1.4165644859822637E-4</v>
      </c>
      <c r="S607" s="14">
        <f t="shared" si="70"/>
        <v>1.1901951461765687E-2</v>
      </c>
    </row>
    <row r="608" spans="12:19" x14ac:dyDescent="0.35">
      <c r="L608" s="2">
        <v>0.3</v>
      </c>
      <c r="M608" s="2">
        <v>0</v>
      </c>
      <c r="N608" s="2">
        <v>0.3</v>
      </c>
      <c r="O608" s="2">
        <v>0.2</v>
      </c>
      <c r="P608" s="8">
        <v>0.2</v>
      </c>
      <c r="Q608" s="12">
        <f t="shared" si="68"/>
        <v>-5.7743489427164668E-5</v>
      </c>
      <c r="R608" s="3">
        <f t="shared" si="69"/>
        <v>1.8290866371040306E-4</v>
      </c>
      <c r="S608" s="14">
        <f t="shared" si="70"/>
        <v>1.3524372950728735E-2</v>
      </c>
    </row>
    <row r="609" spans="12:19" x14ac:dyDescent="0.35">
      <c r="L609" s="2">
        <v>0.2</v>
      </c>
      <c r="M609" s="2">
        <v>0.1</v>
      </c>
      <c r="N609" s="2">
        <v>0.3</v>
      </c>
      <c r="O609" s="2">
        <v>0.2</v>
      </c>
      <c r="P609" s="8">
        <v>0.2</v>
      </c>
      <c r="Q609" s="12">
        <f t="shared" si="68"/>
        <v>4.2512699322254106E-5</v>
      </c>
      <c r="R609" s="3">
        <f t="shared" si="69"/>
        <v>1.4430300231545033E-4</v>
      </c>
      <c r="S609" s="14">
        <f t="shared" si="70"/>
        <v>1.2012618462077714E-2</v>
      </c>
    </row>
    <row r="610" spans="12:19" x14ac:dyDescent="0.35">
      <c r="L610" s="2">
        <v>0.1</v>
      </c>
      <c r="M610" s="2">
        <v>0.2</v>
      </c>
      <c r="N610" s="2">
        <v>0.3</v>
      </c>
      <c r="O610" s="2">
        <v>0.2</v>
      </c>
      <c r="P610" s="8">
        <v>0.2</v>
      </c>
      <c r="Q610" s="12">
        <f t="shared" si="68"/>
        <v>1.4276888807167291E-4</v>
      </c>
      <c r="R610" s="3">
        <f t="shared" si="69"/>
        <v>1.3026532100162804E-4</v>
      </c>
      <c r="S610" s="14">
        <f t="shared" si="70"/>
        <v>1.1413383416043994E-2</v>
      </c>
    </row>
    <row r="611" spans="12:19" x14ac:dyDescent="0.35">
      <c r="L611" s="2">
        <v>0</v>
      </c>
      <c r="M611" s="2">
        <v>0.3</v>
      </c>
      <c r="N611" s="2">
        <v>0.3</v>
      </c>
      <c r="O611" s="2">
        <v>0.2</v>
      </c>
      <c r="P611" s="8">
        <v>0.2</v>
      </c>
      <c r="Q611" s="12">
        <f t="shared" si="68"/>
        <v>2.4302507682109171E-4</v>
      </c>
      <c r="R611" s="3">
        <f t="shared" si="69"/>
        <v>1.4079561976893627E-4</v>
      </c>
      <c r="S611" s="14">
        <f t="shared" si="70"/>
        <v>1.1865733005968753E-2</v>
      </c>
    </row>
    <row r="612" spans="12:19" x14ac:dyDescent="0.35">
      <c r="L612" s="2">
        <v>0.2</v>
      </c>
      <c r="M612" s="2">
        <v>0</v>
      </c>
      <c r="N612" s="2">
        <v>0.4</v>
      </c>
      <c r="O612" s="2">
        <v>0.2</v>
      </c>
      <c r="P612" s="8">
        <v>0.2</v>
      </c>
      <c r="Q612" s="12">
        <f t="shared" si="68"/>
        <v>8.7006432504823717E-5</v>
      </c>
      <c r="R612" s="3">
        <f t="shared" si="69"/>
        <v>1.6622809137048288E-4</v>
      </c>
      <c r="S612" s="14">
        <f t="shared" si="70"/>
        <v>1.2892947350023689E-2</v>
      </c>
    </row>
    <row r="613" spans="12:19" x14ac:dyDescent="0.35">
      <c r="L613" s="2">
        <v>0.1</v>
      </c>
      <c r="M613" s="2">
        <v>0.1</v>
      </c>
      <c r="N613" s="2">
        <v>0.4</v>
      </c>
      <c r="O613" s="2">
        <v>0.2</v>
      </c>
      <c r="P613" s="8">
        <v>0.2</v>
      </c>
      <c r="Q613" s="12">
        <f t="shared" si="68"/>
        <v>1.8726262125424252E-4</v>
      </c>
      <c r="R613" s="3">
        <f t="shared" si="69"/>
        <v>1.4789671809946973E-4</v>
      </c>
      <c r="S613" s="14">
        <f t="shared" si="70"/>
        <v>1.2161279459804783E-2</v>
      </c>
    </row>
    <row r="614" spans="12:19" x14ac:dyDescent="0.35">
      <c r="L614" s="2">
        <v>0</v>
      </c>
      <c r="M614" s="2">
        <v>0.2</v>
      </c>
      <c r="N614" s="2">
        <v>0.4</v>
      </c>
      <c r="O614" s="2">
        <v>0.2</v>
      </c>
      <c r="P614" s="8">
        <v>0.2</v>
      </c>
      <c r="Q614" s="12">
        <f t="shared" si="68"/>
        <v>2.8751881000366132E-4</v>
      </c>
      <c r="R614" s="3">
        <f t="shared" si="69"/>
        <v>1.5413332490958706E-4</v>
      </c>
      <c r="S614" s="14">
        <f t="shared" si="70"/>
        <v>1.2415044297528183E-2</v>
      </c>
    </row>
    <row r="615" spans="12:19" x14ac:dyDescent="0.35">
      <c r="L615" s="2">
        <v>0.1</v>
      </c>
      <c r="M615" s="2">
        <v>0</v>
      </c>
      <c r="N615" s="2">
        <v>0.5</v>
      </c>
      <c r="O615" s="2">
        <v>0.2</v>
      </c>
      <c r="P615" s="8">
        <v>0.2</v>
      </c>
      <c r="Q615" s="12">
        <f t="shared" si="68"/>
        <v>2.3175635443681213E-4</v>
      </c>
      <c r="R615" s="3">
        <f t="shared" si="69"/>
        <v>1.7972664916725213E-4</v>
      </c>
      <c r="S615" s="14">
        <f t="shared" si="70"/>
        <v>1.3406216810392562E-2</v>
      </c>
    </row>
    <row r="616" spans="12:19" x14ac:dyDescent="0.35">
      <c r="L616" s="2">
        <v>0</v>
      </c>
      <c r="M616" s="2">
        <v>0.1</v>
      </c>
      <c r="N616" s="2">
        <v>0.5</v>
      </c>
      <c r="O616" s="2">
        <v>0.2</v>
      </c>
      <c r="P616" s="8">
        <v>0.2</v>
      </c>
      <c r="Q616" s="12">
        <f t="shared" si="68"/>
        <v>3.3201254318623093E-4</v>
      </c>
      <c r="R616" s="3">
        <f t="shared" si="69"/>
        <v>1.816695640201786E-4</v>
      </c>
      <c r="S616" s="14">
        <f t="shared" si="70"/>
        <v>1.347848522721224E-2</v>
      </c>
    </row>
    <row r="617" spans="12:19" x14ac:dyDescent="0.35">
      <c r="L617" s="2">
        <v>0</v>
      </c>
      <c r="M617" s="2">
        <v>0</v>
      </c>
      <c r="N617" s="2">
        <v>0.6</v>
      </c>
      <c r="O617" s="2">
        <v>0.2</v>
      </c>
      <c r="P617" s="8">
        <v>0.2</v>
      </c>
      <c r="Q617" s="12">
        <f t="shared" si="68"/>
        <v>3.7650627636880054E-4</v>
      </c>
      <c r="R617" s="3">
        <f t="shared" si="69"/>
        <v>2.2340433710071097E-4</v>
      </c>
      <c r="S617" s="14">
        <f t="shared" si="70"/>
        <v>1.4946716599330803E-2</v>
      </c>
    </row>
    <row r="618" spans="12:19" x14ac:dyDescent="0.35">
      <c r="L618" s="2">
        <v>0.5</v>
      </c>
      <c r="M618" s="2">
        <v>0</v>
      </c>
      <c r="N618" s="2">
        <v>0</v>
      </c>
      <c r="O618" s="2">
        <v>0.3</v>
      </c>
      <c r="P618" s="8">
        <v>0.2</v>
      </c>
      <c r="Q618" s="12">
        <f t="shared" si="68"/>
        <v>-3.4944146135919881E-4</v>
      </c>
      <c r="R618" s="3">
        <f t="shared" si="69"/>
        <v>3.1421810475448683E-4</v>
      </c>
      <c r="S618" s="14">
        <f t="shared" si="70"/>
        <v>1.7726198260046819E-2</v>
      </c>
    </row>
    <row r="619" spans="12:19" x14ac:dyDescent="0.35">
      <c r="L619" s="2">
        <v>0.4</v>
      </c>
      <c r="M619" s="2">
        <v>0.1</v>
      </c>
      <c r="N619" s="2">
        <v>0</v>
      </c>
      <c r="O619" s="2">
        <v>0.3</v>
      </c>
      <c r="P619" s="8">
        <v>0.2</v>
      </c>
      <c r="Q619" s="12">
        <f t="shared" si="68"/>
        <v>-2.4918527260977999E-4</v>
      </c>
      <c r="R619" s="3">
        <f t="shared" si="69"/>
        <v>2.3372537300520791E-4</v>
      </c>
      <c r="S619" s="14">
        <f t="shared" si="70"/>
        <v>1.5288079441355866E-2</v>
      </c>
    </row>
    <row r="620" spans="12:19" x14ac:dyDescent="0.35">
      <c r="L620" s="2">
        <v>0.3</v>
      </c>
      <c r="M620" s="2">
        <v>0.2</v>
      </c>
      <c r="N620" s="2">
        <v>0</v>
      </c>
      <c r="O620" s="2">
        <v>0.3</v>
      </c>
      <c r="P620" s="8">
        <v>0.2</v>
      </c>
      <c r="Q620" s="12">
        <f t="shared" si="68"/>
        <v>-1.4892908386036116E-4</v>
      </c>
      <c r="R620" s="3">
        <f t="shared" si="69"/>
        <v>1.7780062133705945E-4</v>
      </c>
      <c r="S620" s="14">
        <f t="shared" si="70"/>
        <v>1.333418993928988E-2</v>
      </c>
    </row>
    <row r="621" spans="12:19" x14ac:dyDescent="0.35">
      <c r="L621" s="2">
        <v>0.2</v>
      </c>
      <c r="M621" s="2">
        <v>0.3</v>
      </c>
      <c r="N621" s="2">
        <v>0</v>
      </c>
      <c r="O621" s="2">
        <v>0.3</v>
      </c>
      <c r="P621" s="8">
        <v>0.2</v>
      </c>
      <c r="Q621" s="12">
        <f t="shared" si="68"/>
        <v>-4.8672895110942382E-5</v>
      </c>
      <c r="R621" s="3">
        <f t="shared" si="69"/>
        <v>1.4644384975004155E-4</v>
      </c>
      <c r="S621" s="14">
        <f t="shared" si="70"/>
        <v>1.2101398669163889E-2</v>
      </c>
    </row>
    <row r="622" spans="12:19" x14ac:dyDescent="0.35">
      <c r="L622" s="2">
        <v>0.1</v>
      </c>
      <c r="M622" s="2">
        <v>0.4</v>
      </c>
      <c r="N622" s="2">
        <v>0</v>
      </c>
      <c r="O622" s="2">
        <v>0.3</v>
      </c>
      <c r="P622" s="8">
        <v>0.2</v>
      </c>
      <c r="Q622" s="12">
        <f t="shared" si="68"/>
        <v>5.158329363847646E-5</v>
      </c>
      <c r="R622" s="3">
        <f t="shared" si="69"/>
        <v>1.3965505824415413E-4</v>
      </c>
      <c r="S622" s="14">
        <f t="shared" si="70"/>
        <v>1.1817574126873676E-2</v>
      </c>
    </row>
    <row r="623" spans="12:19" x14ac:dyDescent="0.35">
      <c r="L623" s="2">
        <v>0</v>
      </c>
      <c r="M623" s="2">
        <v>0.5</v>
      </c>
      <c r="N623" s="2">
        <v>0</v>
      </c>
      <c r="O623" s="2">
        <v>0.3</v>
      </c>
      <c r="P623" s="8">
        <v>0.2</v>
      </c>
      <c r="Q623" s="12">
        <f t="shared" si="68"/>
        <v>1.5183948238789527E-4</v>
      </c>
      <c r="R623" s="3">
        <f t="shared" si="69"/>
        <v>1.5743424681939714E-4</v>
      </c>
      <c r="S623" s="14">
        <f t="shared" si="70"/>
        <v>1.2547280455118437E-2</v>
      </c>
    </row>
    <row r="624" spans="12:19" x14ac:dyDescent="0.35">
      <c r="L624" s="2">
        <v>0.4</v>
      </c>
      <c r="M624" s="2">
        <v>0</v>
      </c>
      <c r="N624" s="2">
        <v>0.1</v>
      </c>
      <c r="O624" s="2">
        <v>0.3</v>
      </c>
      <c r="P624" s="8">
        <v>0.2</v>
      </c>
      <c r="Q624" s="12">
        <f t="shared" si="68"/>
        <v>-2.0469153942721037E-4</v>
      </c>
      <c r="R624" s="3">
        <f t="shared" si="69"/>
        <v>2.2812373864909672E-4</v>
      </c>
      <c r="S624" s="14">
        <f t="shared" si="70"/>
        <v>1.5103765710878089E-2</v>
      </c>
    </row>
    <row r="625" spans="12:19" x14ac:dyDescent="0.35">
      <c r="L625" s="2">
        <v>0.3</v>
      </c>
      <c r="M625" s="2">
        <v>0.1</v>
      </c>
      <c r="N625" s="2">
        <v>0.1</v>
      </c>
      <c r="O625" s="2">
        <v>0.3</v>
      </c>
      <c r="P625" s="8">
        <v>0.2</v>
      </c>
      <c r="Q625" s="12">
        <f t="shared" si="68"/>
        <v>-1.0443535067779149E-4</v>
      </c>
      <c r="R625" s="3">
        <f t="shared" si="69"/>
        <v>1.6790529502375739E-4</v>
      </c>
      <c r="S625" s="14">
        <f t="shared" si="70"/>
        <v>1.2957827558034464E-2</v>
      </c>
    </row>
    <row r="626" spans="12:19" x14ac:dyDescent="0.35">
      <c r="L626" s="2">
        <v>0.2</v>
      </c>
      <c r="M626" s="2">
        <v>0.2</v>
      </c>
      <c r="N626" s="2">
        <v>0.1</v>
      </c>
      <c r="O626" s="2">
        <v>0.3</v>
      </c>
      <c r="P626" s="8">
        <v>0.2</v>
      </c>
      <c r="Q626" s="12">
        <f t="shared" si="68"/>
        <v>-4.1791619283727713E-6</v>
      </c>
      <c r="R626" s="3">
        <f t="shared" si="69"/>
        <v>1.3225483147954862E-4</v>
      </c>
      <c r="S626" s="14">
        <f t="shared" si="70"/>
        <v>1.150021006240967E-2</v>
      </c>
    </row>
    <row r="627" spans="12:19" x14ac:dyDescent="0.35">
      <c r="L627" s="2">
        <v>0.1</v>
      </c>
      <c r="M627" s="2">
        <v>0.3</v>
      </c>
      <c r="N627" s="2">
        <v>0.1</v>
      </c>
      <c r="O627" s="2">
        <v>0.3</v>
      </c>
      <c r="P627" s="8">
        <v>0.2</v>
      </c>
      <c r="Q627" s="12">
        <f t="shared" si="68"/>
        <v>9.6077026821046044E-5</v>
      </c>
      <c r="R627" s="3">
        <f t="shared" si="69"/>
        <v>1.2117234801647025E-4</v>
      </c>
      <c r="S627" s="14">
        <f t="shared" si="70"/>
        <v>1.1007831213116881E-2</v>
      </c>
    </row>
    <row r="628" spans="12:19" x14ac:dyDescent="0.35">
      <c r="L628" s="2">
        <v>0</v>
      </c>
      <c r="M628" s="2">
        <v>0.4</v>
      </c>
      <c r="N628" s="2">
        <v>0.1</v>
      </c>
      <c r="O628" s="2">
        <v>0.3</v>
      </c>
      <c r="P628" s="8">
        <v>0.2</v>
      </c>
      <c r="Q628" s="12">
        <f t="shared" si="68"/>
        <v>1.9633321557046489E-4</v>
      </c>
      <c r="R628" s="3">
        <f t="shared" si="69"/>
        <v>1.3465784463452245E-4</v>
      </c>
      <c r="S628" s="14">
        <f t="shared" si="70"/>
        <v>1.1604216674748988E-2</v>
      </c>
    </row>
    <row r="629" spans="12:19" x14ac:dyDescent="0.35">
      <c r="L629" s="2">
        <v>0.3</v>
      </c>
      <c r="M629" s="2">
        <v>0</v>
      </c>
      <c r="N629" s="2">
        <v>0.2</v>
      </c>
      <c r="O629" s="2">
        <v>0.3</v>
      </c>
      <c r="P629" s="8">
        <v>0.2</v>
      </c>
      <c r="Q629" s="12">
        <f t="shared" si="68"/>
        <v>-5.9941617495221935E-5</v>
      </c>
      <c r="R629" s="3">
        <f t="shared" si="69"/>
        <v>1.7220850268039614E-4</v>
      </c>
      <c r="S629" s="14">
        <f t="shared" si="70"/>
        <v>1.3122823731209534E-2</v>
      </c>
    </row>
    <row r="630" spans="12:19" x14ac:dyDescent="0.35">
      <c r="L630" s="2">
        <v>0.2</v>
      </c>
      <c r="M630" s="2">
        <v>0.1</v>
      </c>
      <c r="N630" s="2">
        <v>0.2</v>
      </c>
      <c r="O630" s="2">
        <v>0.3</v>
      </c>
      <c r="P630" s="8">
        <v>0.2</v>
      </c>
      <c r="Q630" s="12">
        <f t="shared" si="68"/>
        <v>4.0314571254196853E-5</v>
      </c>
      <c r="R630" s="3">
        <f t="shared" si="69"/>
        <v>1.3226434717899645E-4</v>
      </c>
      <c r="S630" s="14">
        <f t="shared" si="70"/>
        <v>1.1500623773474048E-2</v>
      </c>
    </row>
    <row r="631" spans="12:19" x14ac:dyDescent="0.35">
      <c r="L631" s="2">
        <v>0.1</v>
      </c>
      <c r="M631" s="2">
        <v>0.2</v>
      </c>
      <c r="N631" s="2">
        <v>0.2</v>
      </c>
      <c r="O631" s="2">
        <v>0.3</v>
      </c>
      <c r="P631" s="8">
        <v>0.2</v>
      </c>
      <c r="Q631" s="12">
        <f t="shared" si="68"/>
        <v>1.405707600036157E-4</v>
      </c>
      <c r="R631" s="3">
        <f t="shared" si="69"/>
        <v>1.1688817175872725E-4</v>
      </c>
      <c r="S631" s="14">
        <f t="shared" si="70"/>
        <v>1.0811483328328599E-2</v>
      </c>
    </row>
    <row r="632" spans="12:19" x14ac:dyDescent="0.35">
      <c r="L632" s="2">
        <v>0</v>
      </c>
      <c r="M632" s="2">
        <v>0.3</v>
      </c>
      <c r="N632" s="2">
        <v>0.2</v>
      </c>
      <c r="O632" s="2">
        <v>0.3</v>
      </c>
      <c r="P632" s="8">
        <v>0.2</v>
      </c>
      <c r="Q632" s="12">
        <f t="shared" si="68"/>
        <v>2.408269487530345E-4</v>
      </c>
      <c r="R632" s="3">
        <f t="shared" si="69"/>
        <v>1.2607997641958849E-4</v>
      </c>
      <c r="S632" s="14">
        <f t="shared" si="70"/>
        <v>1.1228534028072787E-2</v>
      </c>
    </row>
    <row r="633" spans="12:19" x14ac:dyDescent="0.35">
      <c r="L633" s="2">
        <v>0.2</v>
      </c>
      <c r="M633" s="2">
        <v>0</v>
      </c>
      <c r="N633" s="2">
        <v>0.3</v>
      </c>
      <c r="O633" s="2">
        <v>0.3</v>
      </c>
      <c r="P633" s="8">
        <v>0.2</v>
      </c>
      <c r="Q633" s="12">
        <f t="shared" si="68"/>
        <v>8.4808304436766464E-5</v>
      </c>
      <c r="R633" s="3">
        <f t="shared" si="69"/>
        <v>1.464723968483851E-4</v>
      </c>
      <c r="S633" s="14">
        <f t="shared" si="70"/>
        <v>1.2102578107510198E-2</v>
      </c>
    </row>
    <row r="634" spans="12:19" x14ac:dyDescent="0.35">
      <c r="L634" s="2">
        <v>0.1</v>
      </c>
      <c r="M634" s="2">
        <v>0.1</v>
      </c>
      <c r="N634" s="2">
        <v>0.3</v>
      </c>
      <c r="O634" s="2">
        <v>0.3</v>
      </c>
      <c r="P634" s="8">
        <v>0.2</v>
      </c>
      <c r="Q634" s="12">
        <f t="shared" si="68"/>
        <v>1.8506449318618528E-4</v>
      </c>
      <c r="R634" s="3">
        <f t="shared" si="69"/>
        <v>1.2680252947092503E-4</v>
      </c>
      <c r="S634" s="14">
        <f t="shared" si="70"/>
        <v>1.126066292324413E-2</v>
      </c>
    </row>
    <row r="635" spans="12:19" x14ac:dyDescent="0.35">
      <c r="L635" s="2">
        <v>0</v>
      </c>
      <c r="M635" s="2">
        <v>0.2</v>
      </c>
      <c r="N635" s="2">
        <v>0.3</v>
      </c>
      <c r="O635" s="2">
        <v>0.3</v>
      </c>
      <c r="P635" s="8">
        <v>0.2</v>
      </c>
      <c r="Q635" s="12">
        <f t="shared" si="68"/>
        <v>2.8532068193560411E-4</v>
      </c>
      <c r="R635" s="3">
        <f t="shared" si="69"/>
        <v>1.317006421745954E-4</v>
      </c>
      <c r="S635" s="14">
        <f t="shared" si="70"/>
        <v>1.1476090021196043E-2</v>
      </c>
    </row>
    <row r="636" spans="12:19" x14ac:dyDescent="0.35">
      <c r="L636" s="2">
        <v>0.1</v>
      </c>
      <c r="M636" s="2">
        <v>0</v>
      </c>
      <c r="N636" s="2">
        <v>0.4</v>
      </c>
      <c r="O636" s="2">
        <v>0.3</v>
      </c>
      <c r="P636" s="8">
        <v>0.2</v>
      </c>
      <c r="Q636" s="12">
        <f t="shared" si="68"/>
        <v>2.2955822636875492E-4</v>
      </c>
      <c r="R636" s="3">
        <f t="shared" si="69"/>
        <v>1.5091542115306365E-4</v>
      </c>
      <c r="S636" s="14">
        <f t="shared" si="70"/>
        <v>1.2284763780922433E-2</v>
      </c>
    </row>
    <row r="637" spans="12:19" x14ac:dyDescent="0.35">
      <c r="L637" s="2">
        <v>0</v>
      </c>
      <c r="M637" s="2">
        <v>0.1</v>
      </c>
      <c r="N637" s="2">
        <v>0.4</v>
      </c>
      <c r="O637" s="2">
        <v>0.3</v>
      </c>
      <c r="P637" s="8">
        <v>0.2</v>
      </c>
      <c r="Q637" s="12">
        <f t="shared" si="68"/>
        <v>3.2981441511817372E-4</v>
      </c>
      <c r="R637" s="3">
        <f t="shared" si="69"/>
        <v>1.5151984189954316E-4</v>
      </c>
      <c r="S637" s="14">
        <f t="shared" si="70"/>
        <v>1.2309339620773454E-2</v>
      </c>
    </row>
    <row r="638" spans="12:19" x14ac:dyDescent="0.35">
      <c r="L638" s="2">
        <v>0</v>
      </c>
      <c r="M638" s="2">
        <v>0</v>
      </c>
      <c r="N638" s="2">
        <v>0.5</v>
      </c>
      <c r="O638" s="2">
        <v>0.3</v>
      </c>
      <c r="P638" s="8">
        <v>0.2</v>
      </c>
      <c r="Q638" s="12">
        <f t="shared" si="68"/>
        <v>3.7430814830074333E-4</v>
      </c>
      <c r="R638" s="3">
        <f t="shared" si="69"/>
        <v>1.8553757559443168E-4</v>
      </c>
      <c r="S638" s="14">
        <f t="shared" si="70"/>
        <v>1.3621217845495009E-2</v>
      </c>
    </row>
    <row r="639" spans="12:19" x14ac:dyDescent="0.35">
      <c r="L639" s="2">
        <v>0.4</v>
      </c>
      <c r="M639" s="2">
        <v>0</v>
      </c>
      <c r="N639" s="2">
        <v>0</v>
      </c>
      <c r="O639" s="2">
        <v>0.4</v>
      </c>
      <c r="P639" s="8">
        <v>0.2</v>
      </c>
      <c r="Q639" s="12">
        <f t="shared" si="68"/>
        <v>-2.0688966749526759E-4</v>
      </c>
      <c r="R639" s="3">
        <f t="shared" si="69"/>
        <v>2.3818899542282578E-4</v>
      </c>
      <c r="S639" s="14">
        <f t="shared" si="70"/>
        <v>1.5433372781826589E-2</v>
      </c>
    </row>
    <row r="640" spans="12:19" x14ac:dyDescent="0.35">
      <c r="L640" s="2">
        <v>0.3</v>
      </c>
      <c r="M640" s="2">
        <v>0.1</v>
      </c>
      <c r="N640" s="2">
        <v>0</v>
      </c>
      <c r="O640" s="2">
        <v>0.4</v>
      </c>
      <c r="P640" s="8">
        <v>0.2</v>
      </c>
      <c r="Q640" s="12">
        <f t="shared" si="68"/>
        <v>-1.066334787458487E-4</v>
      </c>
      <c r="R640" s="3">
        <f t="shared" si="69"/>
        <v>1.7663205769103953E-4</v>
      </c>
      <c r="S640" s="14">
        <f t="shared" si="70"/>
        <v>1.3290299383047755E-2</v>
      </c>
    </row>
    <row r="641" spans="12:19" x14ac:dyDescent="0.35">
      <c r="L641" s="2">
        <v>0.2</v>
      </c>
      <c r="M641" s="2">
        <v>0.2</v>
      </c>
      <c r="N641" s="2">
        <v>0</v>
      </c>
      <c r="O641" s="2">
        <v>0.4</v>
      </c>
      <c r="P641" s="8">
        <v>0.2</v>
      </c>
      <c r="Q641" s="12">
        <f t="shared" si="68"/>
        <v>-6.3772899964299832E-6</v>
      </c>
      <c r="R641" s="3">
        <f t="shared" si="69"/>
        <v>1.3964310004038378E-4</v>
      </c>
      <c r="S641" s="14">
        <f t="shared" si="70"/>
        <v>1.1817068166020867E-2</v>
      </c>
    </row>
    <row r="642" spans="12:19" x14ac:dyDescent="0.35">
      <c r="L642" s="2">
        <v>0.1</v>
      </c>
      <c r="M642" s="2">
        <v>0.3</v>
      </c>
      <c r="N642" s="2">
        <v>0</v>
      </c>
      <c r="O642" s="2">
        <v>0.4</v>
      </c>
      <c r="P642" s="8">
        <v>0.2</v>
      </c>
      <c r="Q642" s="12">
        <f t="shared" si="68"/>
        <v>9.3878898752988832E-5</v>
      </c>
      <c r="R642" s="3">
        <f t="shared" si="69"/>
        <v>1.2722212247085851E-4</v>
      </c>
      <c r="S642" s="14">
        <f t="shared" si="70"/>
        <v>1.1279278455240765E-2</v>
      </c>
    </row>
    <row r="643" spans="12:19" x14ac:dyDescent="0.35">
      <c r="L643" s="2">
        <v>0</v>
      </c>
      <c r="M643" s="2">
        <v>0.4</v>
      </c>
      <c r="N643" s="2">
        <v>0</v>
      </c>
      <c r="O643" s="2">
        <v>0.4</v>
      </c>
      <c r="P643" s="8">
        <v>0.2</v>
      </c>
      <c r="Q643" s="12">
        <f t="shared" ref="Q643:Q706" si="71">SUMPRODUCT($U$5:$Y$5,L643:P643)</f>
        <v>1.9413508750240767E-4</v>
      </c>
      <c r="R643" s="3">
        <f t="shared" ref="R643:R706" si="72">POWER(L643,2)*$V$9+POWER(M643,2)*$W$10+POWER(N643,2)*$X$11+POWER(O643,2)*$Y$12+POWER(P643,2)*$Z$13+2*(L643*M643*$V$10+N643*O643*$X$12+N643*P643*$X$13+$O$3*P643*$Y$13+L643*N643*$V$11+L643*O643*$V$12+L643*P643*$V$13+M643*N643*$W$11+M643*O643*$W$12+M643*P643*$W$13)</f>
        <v>1.3936912498246375E-4</v>
      </c>
      <c r="S643" s="14">
        <f t="shared" si="70"/>
        <v>1.1805470129667168E-2</v>
      </c>
    </row>
    <row r="644" spans="12:19" x14ac:dyDescent="0.35">
      <c r="L644" s="2">
        <v>0.3</v>
      </c>
      <c r="M644" s="2">
        <v>0</v>
      </c>
      <c r="N644" s="2">
        <v>0.1</v>
      </c>
      <c r="O644" s="2">
        <v>0.4</v>
      </c>
      <c r="P644" s="8">
        <v>0.2</v>
      </c>
      <c r="Q644" s="12">
        <f t="shared" si="71"/>
        <v>-6.2139745563279092E-5</v>
      </c>
      <c r="R644" s="3">
        <f t="shared" si="72"/>
        <v>1.7321822596203442E-4</v>
      </c>
      <c r="S644" s="14">
        <f t="shared" ref="S644:S707" si="73">SQRT(R644)</f>
        <v>1.3161239529848032E-2</v>
      </c>
    </row>
    <row r="645" spans="12:19" x14ac:dyDescent="0.35">
      <c r="L645" s="2">
        <v>0.2</v>
      </c>
      <c r="M645" s="2">
        <v>0.1</v>
      </c>
      <c r="N645" s="2">
        <v>0.1</v>
      </c>
      <c r="O645" s="2">
        <v>0.4</v>
      </c>
      <c r="P645" s="8">
        <v>0.2</v>
      </c>
      <c r="Q645" s="12">
        <f t="shared" si="71"/>
        <v>3.8116443186139641E-5</v>
      </c>
      <c r="R645" s="3">
        <f t="shared" si="72"/>
        <v>1.3193557635418781E-4</v>
      </c>
      <c r="S645" s="14">
        <f t="shared" si="73"/>
        <v>1.14863212715903E-2</v>
      </c>
    </row>
    <row r="646" spans="12:19" x14ac:dyDescent="0.35">
      <c r="L646" s="2">
        <v>0.1</v>
      </c>
      <c r="M646" s="2">
        <v>0.2</v>
      </c>
      <c r="N646" s="2">
        <v>0.1</v>
      </c>
      <c r="O646" s="2">
        <v>0.4</v>
      </c>
      <c r="P646" s="8">
        <v>0.2</v>
      </c>
      <c r="Q646" s="12">
        <f t="shared" si="71"/>
        <v>1.3837263193555846E-4</v>
      </c>
      <c r="R646" s="3">
        <f t="shared" si="72"/>
        <v>1.1522090682747163E-4</v>
      </c>
      <c r="S646" s="14">
        <f t="shared" si="73"/>
        <v>1.0734100187135932E-2</v>
      </c>
    </row>
    <row r="647" spans="12:19" x14ac:dyDescent="0.35">
      <c r="L647" s="2">
        <v>0</v>
      </c>
      <c r="M647" s="2">
        <v>0.3</v>
      </c>
      <c r="N647" s="2">
        <v>0.1</v>
      </c>
      <c r="O647" s="2">
        <v>0.4</v>
      </c>
      <c r="P647" s="8">
        <v>0.2</v>
      </c>
      <c r="Q647" s="12">
        <f t="shared" si="71"/>
        <v>2.3862882068497729E-4</v>
      </c>
      <c r="R647" s="3">
        <f t="shared" si="72"/>
        <v>1.2307421738188596E-4</v>
      </c>
      <c r="S647" s="14">
        <f t="shared" si="73"/>
        <v>1.1093881979806977E-2</v>
      </c>
    </row>
    <row r="648" spans="12:19" x14ac:dyDescent="0.35">
      <c r="L648" s="2">
        <v>0.2</v>
      </c>
      <c r="M648" s="2">
        <v>0</v>
      </c>
      <c r="N648" s="2">
        <v>0.2</v>
      </c>
      <c r="O648" s="2">
        <v>0.4</v>
      </c>
      <c r="P648" s="8">
        <v>0.2</v>
      </c>
      <c r="Q648" s="12">
        <f t="shared" si="71"/>
        <v>8.261017636870928E-5</v>
      </c>
      <c r="R648" s="3">
        <f t="shared" si="72"/>
        <v>1.3842658663793263E-4</v>
      </c>
      <c r="S648" s="14">
        <f t="shared" si="73"/>
        <v>1.1765482847632418E-2</v>
      </c>
    </row>
    <row r="649" spans="12:19" x14ac:dyDescent="0.35">
      <c r="L649" s="2">
        <v>0.1</v>
      </c>
      <c r="M649" s="2">
        <v>0.1</v>
      </c>
      <c r="N649" s="2">
        <v>0.2</v>
      </c>
      <c r="O649" s="2">
        <v>0.4</v>
      </c>
      <c r="P649" s="8">
        <v>0.2</v>
      </c>
      <c r="Q649" s="12">
        <f t="shared" si="71"/>
        <v>1.8286636511812807E-4</v>
      </c>
      <c r="R649" s="3">
        <f t="shared" si="72"/>
        <v>1.174182251540256E-4</v>
      </c>
      <c r="S649" s="14">
        <f t="shared" si="73"/>
        <v>1.0835969045453461E-2</v>
      </c>
    </row>
    <row r="650" spans="12:19" x14ac:dyDescent="0.35">
      <c r="L650" s="2">
        <v>0</v>
      </c>
      <c r="M650" s="2">
        <v>0.2</v>
      </c>
      <c r="N650" s="2">
        <v>0.2</v>
      </c>
      <c r="O650" s="2">
        <v>0.4</v>
      </c>
      <c r="P650" s="8">
        <v>0.2</v>
      </c>
      <c r="Q650" s="12">
        <f t="shared" si="71"/>
        <v>2.831225538675469E-4</v>
      </c>
      <c r="R650" s="3">
        <f t="shared" si="72"/>
        <v>1.2097784375124905E-4</v>
      </c>
      <c r="S650" s="14">
        <f t="shared" si="73"/>
        <v>1.0998992851677332E-2</v>
      </c>
    </row>
    <row r="651" spans="12:19" x14ac:dyDescent="0.35">
      <c r="L651" s="2">
        <v>0.1</v>
      </c>
      <c r="M651" s="2">
        <v>0</v>
      </c>
      <c r="N651" s="2">
        <v>0.3</v>
      </c>
      <c r="O651" s="2">
        <v>0.4</v>
      </c>
      <c r="P651" s="8">
        <v>0.2</v>
      </c>
      <c r="Q651" s="12">
        <f t="shared" si="71"/>
        <v>2.2736009830069768E-4</v>
      </c>
      <c r="R651" s="3">
        <f t="shared" si="72"/>
        <v>1.3381407745052034E-4</v>
      </c>
      <c r="S651" s="14">
        <f t="shared" si="73"/>
        <v>1.1567803484262703E-2</v>
      </c>
    </row>
    <row r="652" spans="12:19" x14ac:dyDescent="0.35">
      <c r="L652" s="2">
        <v>0</v>
      </c>
      <c r="M652" s="2">
        <v>0.1</v>
      </c>
      <c r="N652" s="2">
        <v>0.3</v>
      </c>
      <c r="O652" s="2">
        <v>0.4</v>
      </c>
      <c r="P652" s="8">
        <v>0.2</v>
      </c>
      <c r="Q652" s="12">
        <f t="shared" si="71"/>
        <v>3.2761628705011651E-4</v>
      </c>
      <c r="R652" s="3">
        <f t="shared" si="72"/>
        <v>1.3308000409055292E-4</v>
      </c>
      <c r="S652" s="14">
        <f t="shared" si="73"/>
        <v>1.1536030690430436E-2</v>
      </c>
    </row>
    <row r="653" spans="12:19" x14ac:dyDescent="0.35">
      <c r="L653" s="2">
        <v>0</v>
      </c>
      <c r="M653" s="2">
        <v>0</v>
      </c>
      <c r="N653" s="2">
        <v>0.4</v>
      </c>
      <c r="O653" s="2">
        <v>0.4</v>
      </c>
      <c r="P653" s="8">
        <v>0.2</v>
      </c>
      <c r="Q653" s="12">
        <f t="shared" si="71"/>
        <v>3.7211002023268612E-4</v>
      </c>
      <c r="R653" s="3">
        <f t="shared" si="72"/>
        <v>1.5938069839979764E-4</v>
      </c>
      <c r="S653" s="14">
        <f t="shared" si="73"/>
        <v>1.2624606861197605E-2</v>
      </c>
    </row>
    <row r="654" spans="12:19" x14ac:dyDescent="0.35">
      <c r="L654" s="2">
        <v>0.3</v>
      </c>
      <c r="M654" s="2">
        <v>0</v>
      </c>
      <c r="N654" s="2">
        <v>0</v>
      </c>
      <c r="O654" s="2">
        <v>0.5</v>
      </c>
      <c r="P654" s="8">
        <v>0.2</v>
      </c>
      <c r="Q654" s="12">
        <f t="shared" si="71"/>
        <v>-6.4337873631336358E-5</v>
      </c>
      <c r="R654" s="3">
        <f t="shared" si="72"/>
        <v>1.8593783355531787E-4</v>
      </c>
      <c r="S654" s="14">
        <f t="shared" si="73"/>
        <v>1.36359023740755E-2</v>
      </c>
    </row>
    <row r="655" spans="12:19" x14ac:dyDescent="0.35">
      <c r="L655" s="2">
        <v>0.2</v>
      </c>
      <c r="M655" s="2">
        <v>0.1</v>
      </c>
      <c r="N655" s="2">
        <v>0</v>
      </c>
      <c r="O655" s="2">
        <v>0.5</v>
      </c>
      <c r="P655" s="8">
        <v>0.2</v>
      </c>
      <c r="Q655" s="12">
        <f t="shared" si="71"/>
        <v>3.5918315118082416E-5</v>
      </c>
      <c r="R655" s="3">
        <f t="shared" si="72"/>
        <v>1.4331668984102433E-4</v>
      </c>
      <c r="S655" s="14">
        <f t="shared" si="73"/>
        <v>1.1971494887482696E-2</v>
      </c>
    </row>
    <row r="656" spans="12:19" x14ac:dyDescent="0.35">
      <c r="L656" s="2">
        <v>0.1</v>
      </c>
      <c r="M656" s="2">
        <v>0.2</v>
      </c>
      <c r="N656" s="2">
        <v>0</v>
      </c>
      <c r="O656" s="2">
        <v>0.5</v>
      </c>
      <c r="P656" s="8">
        <v>0.2</v>
      </c>
      <c r="Q656" s="12">
        <f t="shared" si="71"/>
        <v>1.3617450386750124E-4</v>
      </c>
      <c r="R656" s="3">
        <f t="shared" si="72"/>
        <v>1.2526352620786122E-4</v>
      </c>
      <c r="S656" s="14">
        <f t="shared" si="73"/>
        <v>1.119211893288582E-2</v>
      </c>
    </row>
    <row r="657" spans="12:19" x14ac:dyDescent="0.35">
      <c r="L657" s="2">
        <v>0</v>
      </c>
      <c r="M657" s="2">
        <v>0.3</v>
      </c>
      <c r="N657" s="2">
        <v>0</v>
      </c>
      <c r="O657" s="2">
        <v>0.5</v>
      </c>
      <c r="P657" s="8">
        <v>0.2</v>
      </c>
      <c r="Q657" s="12">
        <f t="shared" si="71"/>
        <v>2.3643069261692005E-4</v>
      </c>
      <c r="R657" s="3">
        <f t="shared" si="72"/>
        <v>1.3177834265582861E-4</v>
      </c>
      <c r="S657" s="14">
        <f t="shared" si="73"/>
        <v>1.1479474842336152E-2</v>
      </c>
    </row>
    <row r="658" spans="12:19" x14ac:dyDescent="0.35">
      <c r="L658" s="2">
        <v>0.2</v>
      </c>
      <c r="M658" s="2">
        <v>0</v>
      </c>
      <c r="N658" s="2">
        <v>0.1</v>
      </c>
      <c r="O658" s="2">
        <v>0.5</v>
      </c>
      <c r="P658" s="8">
        <v>0.2</v>
      </c>
      <c r="Q658" s="12">
        <f t="shared" si="71"/>
        <v>8.0412048300652027E-5</v>
      </c>
      <c r="R658" s="3">
        <f t="shared" si="72"/>
        <v>1.420906607391253E-4</v>
      </c>
      <c r="S658" s="14">
        <f t="shared" si="73"/>
        <v>1.1920178720938932E-2</v>
      </c>
    </row>
    <row r="659" spans="12:19" x14ac:dyDescent="0.35">
      <c r="L659" s="2">
        <v>0.1</v>
      </c>
      <c r="M659" s="2">
        <v>0.1</v>
      </c>
      <c r="N659" s="2">
        <v>0.1</v>
      </c>
      <c r="O659" s="2">
        <v>0.5</v>
      </c>
      <c r="P659" s="8">
        <v>0.2</v>
      </c>
      <c r="Q659" s="12">
        <f t="shared" si="71"/>
        <v>1.8066823705007083E-4</v>
      </c>
      <c r="R659" s="3">
        <f t="shared" si="72"/>
        <v>1.1974380514877131E-4</v>
      </c>
      <c r="S659" s="14">
        <f t="shared" si="73"/>
        <v>1.0942751260481585E-2</v>
      </c>
    </row>
    <row r="660" spans="12:19" x14ac:dyDescent="0.35">
      <c r="L660" s="2">
        <v>0</v>
      </c>
      <c r="M660" s="2">
        <v>0.2</v>
      </c>
      <c r="N660" s="2">
        <v>0.1</v>
      </c>
      <c r="O660" s="2">
        <v>0.5</v>
      </c>
      <c r="P660" s="8">
        <v>0.2</v>
      </c>
      <c r="Q660" s="12">
        <f t="shared" si="71"/>
        <v>2.8092442579948963E-4</v>
      </c>
      <c r="R660" s="3">
        <f t="shared" si="72"/>
        <v>1.2196492963954782E-4</v>
      </c>
      <c r="S660" s="14">
        <f t="shared" si="73"/>
        <v>1.1043773342456273E-2</v>
      </c>
    </row>
    <row r="661" spans="12:19" x14ac:dyDescent="0.35">
      <c r="L661" s="2">
        <v>0.1</v>
      </c>
      <c r="M661" s="2">
        <v>0</v>
      </c>
      <c r="N661" s="2">
        <v>0.2</v>
      </c>
      <c r="O661" s="2">
        <v>0.5</v>
      </c>
      <c r="P661" s="8">
        <v>0.2</v>
      </c>
      <c r="Q661" s="12">
        <f t="shared" si="71"/>
        <v>2.2516197023264047E-4</v>
      </c>
      <c r="R661" s="3">
        <f t="shared" si="72"/>
        <v>1.2842261805962225E-4</v>
      </c>
      <c r="S661" s="14">
        <f t="shared" si="73"/>
        <v>1.1332370363680419E-2</v>
      </c>
    </row>
    <row r="662" spans="12:19" x14ac:dyDescent="0.35">
      <c r="L662" s="2">
        <v>0</v>
      </c>
      <c r="M662" s="2">
        <v>0.1</v>
      </c>
      <c r="N662" s="2">
        <v>0.2</v>
      </c>
      <c r="O662" s="2">
        <v>0.5</v>
      </c>
      <c r="P662" s="8">
        <v>0.2</v>
      </c>
      <c r="Q662" s="12">
        <f t="shared" si="71"/>
        <v>3.254181589820593E-4</v>
      </c>
      <c r="R662" s="3">
        <f t="shared" si="72"/>
        <v>1.2635005059320785E-4</v>
      </c>
      <c r="S662" s="14">
        <f t="shared" si="73"/>
        <v>1.1240553838366144E-2</v>
      </c>
    </row>
    <row r="663" spans="12:19" x14ac:dyDescent="0.35">
      <c r="L663" s="2">
        <v>0</v>
      </c>
      <c r="M663" s="2">
        <v>0</v>
      </c>
      <c r="N663" s="2">
        <v>0.3</v>
      </c>
      <c r="O663" s="2">
        <v>0.5</v>
      </c>
      <c r="P663" s="8">
        <v>0.2</v>
      </c>
      <c r="Q663" s="12">
        <f t="shared" si="71"/>
        <v>3.6991189216462891E-4</v>
      </c>
      <c r="R663" s="3">
        <f t="shared" si="72"/>
        <v>1.4493370551680871E-4</v>
      </c>
      <c r="S663" s="14">
        <f t="shared" si="73"/>
        <v>1.2038841535497039E-2</v>
      </c>
    </row>
    <row r="664" spans="12:19" x14ac:dyDescent="0.35">
      <c r="L664" s="2">
        <v>0.2</v>
      </c>
      <c r="M664" s="2">
        <v>0</v>
      </c>
      <c r="N664" s="2">
        <v>0</v>
      </c>
      <c r="O664" s="2">
        <v>0.6</v>
      </c>
      <c r="P664" s="8">
        <v>0.2</v>
      </c>
      <c r="Q664" s="12">
        <f t="shared" si="71"/>
        <v>7.8213920232594815E-5</v>
      </c>
      <c r="R664" s="3">
        <f t="shared" si="72"/>
        <v>1.5746461915196319E-4</v>
      </c>
      <c r="S664" s="14">
        <f t="shared" si="73"/>
        <v>1.2548490712112082E-2</v>
      </c>
    </row>
    <row r="665" spans="12:19" x14ac:dyDescent="0.35">
      <c r="L665" s="2">
        <v>0.1</v>
      </c>
      <c r="M665" s="2">
        <v>0.1</v>
      </c>
      <c r="N665" s="2">
        <v>0</v>
      </c>
      <c r="O665" s="2">
        <v>0.6</v>
      </c>
      <c r="P665" s="8">
        <v>0.2</v>
      </c>
      <c r="Q665" s="12">
        <f t="shared" si="71"/>
        <v>1.7847010898201362E-4</v>
      </c>
      <c r="R665" s="3">
        <f t="shared" si="72"/>
        <v>1.3377926945516228E-4</v>
      </c>
      <c r="S665" s="14">
        <f t="shared" si="73"/>
        <v>1.1566298865893198E-2</v>
      </c>
    </row>
    <row r="666" spans="12:19" x14ac:dyDescent="0.35">
      <c r="L666" s="2">
        <v>0</v>
      </c>
      <c r="M666" s="2">
        <v>0.2</v>
      </c>
      <c r="N666" s="2">
        <v>0</v>
      </c>
      <c r="O666" s="2">
        <v>0.6</v>
      </c>
      <c r="P666" s="8">
        <v>0.2</v>
      </c>
      <c r="Q666" s="12">
        <f t="shared" si="71"/>
        <v>2.7872629773143247E-4</v>
      </c>
      <c r="R666" s="3">
        <f t="shared" si="72"/>
        <v>1.3466189983949182E-4</v>
      </c>
      <c r="S666" s="14">
        <f t="shared" si="73"/>
        <v>1.1604391403235752E-2</v>
      </c>
    </row>
    <row r="667" spans="12:19" x14ac:dyDescent="0.35">
      <c r="L667" s="2">
        <v>0.1</v>
      </c>
      <c r="M667" s="2">
        <v>0</v>
      </c>
      <c r="N667" s="2">
        <v>0.1</v>
      </c>
      <c r="O667" s="2">
        <v>0.6</v>
      </c>
      <c r="P667" s="8">
        <v>0.2</v>
      </c>
      <c r="Q667" s="12">
        <f t="shared" si="71"/>
        <v>2.2296384216458325E-4</v>
      </c>
      <c r="R667" s="3">
        <f t="shared" si="72"/>
        <v>1.3474104298036933E-4</v>
      </c>
      <c r="S667" s="14">
        <f t="shared" si="73"/>
        <v>1.1607800953684954E-2</v>
      </c>
    </row>
    <row r="668" spans="12:19" x14ac:dyDescent="0.35">
      <c r="L668" s="2">
        <v>0</v>
      </c>
      <c r="M668" s="2">
        <v>0.1</v>
      </c>
      <c r="N668" s="2">
        <v>0.1</v>
      </c>
      <c r="O668" s="2">
        <v>0.6</v>
      </c>
      <c r="P668" s="8">
        <v>0.2</v>
      </c>
      <c r="Q668" s="12">
        <f t="shared" si="71"/>
        <v>3.2322003091400208E-4</v>
      </c>
      <c r="R668" s="3">
        <f t="shared" si="72"/>
        <v>1.3132998140750801E-4</v>
      </c>
      <c r="S668" s="14">
        <f t="shared" si="73"/>
        <v>1.1459929380563739E-2</v>
      </c>
    </row>
    <row r="669" spans="12:19" x14ac:dyDescent="0.35">
      <c r="L669" s="2">
        <v>0</v>
      </c>
      <c r="M669" s="2">
        <v>0</v>
      </c>
      <c r="N669" s="2">
        <v>0.2</v>
      </c>
      <c r="O669" s="2">
        <v>0.6</v>
      </c>
      <c r="P669" s="8">
        <v>0.2</v>
      </c>
      <c r="Q669" s="12">
        <f t="shared" si="71"/>
        <v>3.6771376409657169E-4</v>
      </c>
      <c r="R669" s="3">
        <f t="shared" si="72"/>
        <v>1.4219659694546502E-4</v>
      </c>
      <c r="S669" s="14">
        <f t="shared" si="73"/>
        <v>1.1924621459210562E-2</v>
      </c>
    </row>
    <row r="670" spans="12:19" x14ac:dyDescent="0.35">
      <c r="L670" s="2">
        <v>0.1</v>
      </c>
      <c r="M670" s="2">
        <v>0</v>
      </c>
      <c r="N670" s="2">
        <v>0</v>
      </c>
      <c r="O670" s="2">
        <v>0.7</v>
      </c>
      <c r="P670" s="8">
        <v>0.2</v>
      </c>
      <c r="Q670" s="12">
        <f t="shared" si="71"/>
        <v>2.2076571409652599E-4</v>
      </c>
      <c r="R670" s="3">
        <f t="shared" si="72"/>
        <v>1.5276935221276164E-4</v>
      </c>
      <c r="S670" s="14">
        <f t="shared" si="73"/>
        <v>1.2359989976240339E-2</v>
      </c>
    </row>
    <row r="671" spans="12:19" x14ac:dyDescent="0.35">
      <c r="L671" s="2">
        <v>0</v>
      </c>
      <c r="M671" s="2">
        <v>0.1</v>
      </c>
      <c r="N671" s="2">
        <v>0</v>
      </c>
      <c r="O671" s="2">
        <v>0.7</v>
      </c>
      <c r="P671" s="8">
        <v>0.2</v>
      </c>
      <c r="Q671" s="12">
        <f t="shared" si="71"/>
        <v>3.2102190284594482E-4</v>
      </c>
      <c r="R671" s="3">
        <f t="shared" si="72"/>
        <v>1.4801979653345334E-4</v>
      </c>
      <c r="S671" s="14">
        <f t="shared" si="73"/>
        <v>1.2166338665903286E-2</v>
      </c>
    </row>
    <row r="672" spans="12:19" x14ac:dyDescent="0.35">
      <c r="L672" s="2">
        <v>0</v>
      </c>
      <c r="M672" s="2">
        <v>0</v>
      </c>
      <c r="N672" s="2">
        <v>0.1</v>
      </c>
      <c r="O672" s="2">
        <v>0.7</v>
      </c>
      <c r="P672" s="8">
        <v>0.2</v>
      </c>
      <c r="Q672" s="12">
        <f t="shared" si="71"/>
        <v>3.6551563602851443E-4</v>
      </c>
      <c r="R672" s="3">
        <f t="shared" si="72"/>
        <v>1.5116937268576651E-4</v>
      </c>
      <c r="S672" s="14">
        <f t="shared" si="73"/>
        <v>1.2295095472820311E-2</v>
      </c>
    </row>
    <row r="673" spans="12:19" x14ac:dyDescent="0.35">
      <c r="L673" s="2">
        <v>0</v>
      </c>
      <c r="M673" s="2">
        <v>0</v>
      </c>
      <c r="N673" s="2">
        <v>0</v>
      </c>
      <c r="O673" s="2">
        <v>0.8</v>
      </c>
      <c r="P673" s="8">
        <v>0.2</v>
      </c>
      <c r="Q673" s="12">
        <f t="shared" si="71"/>
        <v>3.6331750796045727E-4</v>
      </c>
      <c r="R673" s="3">
        <f t="shared" si="72"/>
        <v>1.7185203273771329E-4</v>
      </c>
      <c r="S673" s="14">
        <f t="shared" si="73"/>
        <v>1.3109234635847865E-2</v>
      </c>
    </row>
    <row r="674" spans="12:19" x14ac:dyDescent="0.35">
      <c r="L674" s="2">
        <v>0.7</v>
      </c>
      <c r="M674" s="2">
        <v>0</v>
      </c>
      <c r="N674" s="2">
        <v>0</v>
      </c>
      <c r="O674" s="2">
        <v>0</v>
      </c>
      <c r="P674" s="8">
        <v>0.3</v>
      </c>
      <c r="Q674" s="12">
        <f t="shared" si="71"/>
        <v>-5.8670345324623617E-4</v>
      </c>
      <c r="R674" s="3">
        <f t="shared" si="72"/>
        <v>5.2736657293967349E-4</v>
      </c>
      <c r="S674" s="14">
        <f t="shared" si="73"/>
        <v>2.2964463262608023E-2</v>
      </c>
    </row>
    <row r="675" spans="12:19" x14ac:dyDescent="0.35">
      <c r="L675" s="2">
        <v>0.6</v>
      </c>
      <c r="M675" s="2">
        <v>0.1</v>
      </c>
      <c r="N675" s="2">
        <v>0</v>
      </c>
      <c r="O675" s="2">
        <v>0</v>
      </c>
      <c r="P675" s="8">
        <v>0.3</v>
      </c>
      <c r="Q675" s="12">
        <f t="shared" si="71"/>
        <v>-4.8644726449681734E-4</v>
      </c>
      <c r="R675" s="3">
        <f t="shared" si="72"/>
        <v>4.0954457629976298E-4</v>
      </c>
      <c r="S675" s="14">
        <f t="shared" si="73"/>
        <v>2.0237207719934164E-2</v>
      </c>
    </row>
    <row r="676" spans="12:19" x14ac:dyDescent="0.35">
      <c r="L676" s="2">
        <v>0.5</v>
      </c>
      <c r="M676" s="2">
        <v>0.2</v>
      </c>
      <c r="N676" s="2">
        <v>0</v>
      </c>
      <c r="O676" s="2">
        <v>0</v>
      </c>
      <c r="P676" s="8">
        <v>0.3</v>
      </c>
      <c r="Q676" s="12">
        <f t="shared" si="71"/>
        <v>-3.8619107574739862E-4</v>
      </c>
      <c r="R676" s="3">
        <f t="shared" si="72"/>
        <v>3.1629055974098289E-4</v>
      </c>
      <c r="S676" s="14">
        <f t="shared" si="73"/>
        <v>1.7784559588052296E-2</v>
      </c>
    </row>
    <row r="677" spans="12:19" x14ac:dyDescent="0.35">
      <c r="L677" s="2">
        <v>0.4</v>
      </c>
      <c r="M677" s="2">
        <v>0.3</v>
      </c>
      <c r="N677" s="2">
        <v>0</v>
      </c>
      <c r="O677" s="2">
        <v>0</v>
      </c>
      <c r="P677" s="8">
        <v>0.3</v>
      </c>
      <c r="Q677" s="12">
        <f t="shared" si="71"/>
        <v>-2.8593488699797979E-4</v>
      </c>
      <c r="R677" s="3">
        <f t="shared" si="72"/>
        <v>2.4760452326333339E-4</v>
      </c>
      <c r="S677" s="14">
        <f t="shared" si="73"/>
        <v>1.5735454339272616E-2</v>
      </c>
    </row>
    <row r="678" spans="12:19" x14ac:dyDescent="0.35">
      <c r="L678" s="2">
        <v>0.3</v>
      </c>
      <c r="M678" s="2">
        <v>0.4</v>
      </c>
      <c r="N678" s="2">
        <v>0</v>
      </c>
      <c r="O678" s="2">
        <v>0</v>
      </c>
      <c r="P678" s="8">
        <v>0.3</v>
      </c>
      <c r="Q678" s="12">
        <f t="shared" si="71"/>
        <v>-1.8567869824856091E-4</v>
      </c>
      <c r="R678" s="3">
        <f t="shared" si="72"/>
        <v>2.0348646686681429E-4</v>
      </c>
      <c r="S678" s="14">
        <f t="shared" si="73"/>
        <v>1.4264868273728092E-2</v>
      </c>
    </row>
    <row r="679" spans="12:19" x14ac:dyDescent="0.35">
      <c r="L679" s="2">
        <v>0.2</v>
      </c>
      <c r="M679" s="2">
        <v>0.5</v>
      </c>
      <c r="N679" s="2">
        <v>0</v>
      </c>
      <c r="O679" s="2">
        <v>0</v>
      </c>
      <c r="P679" s="8">
        <v>0.3</v>
      </c>
      <c r="Q679" s="12">
        <f t="shared" si="71"/>
        <v>-8.5422509499142132E-5</v>
      </c>
      <c r="R679" s="3">
        <f t="shared" si="72"/>
        <v>1.8393639055142569E-4</v>
      </c>
      <c r="S679" s="14">
        <f t="shared" si="73"/>
        <v>1.3562315088192934E-2</v>
      </c>
    </row>
    <row r="680" spans="12:19" x14ac:dyDescent="0.35">
      <c r="L680" s="2">
        <v>0.1</v>
      </c>
      <c r="M680" s="2">
        <v>0.6</v>
      </c>
      <c r="N680" s="2">
        <v>0</v>
      </c>
      <c r="O680" s="2">
        <v>0</v>
      </c>
      <c r="P680" s="8">
        <v>0.3</v>
      </c>
      <c r="Q680" s="12">
        <f t="shared" si="71"/>
        <v>1.4833679250276697E-5</v>
      </c>
      <c r="R680" s="3">
        <f t="shared" si="72"/>
        <v>1.8895429431716755E-4</v>
      </c>
      <c r="S680" s="14">
        <f t="shared" si="73"/>
        <v>1.374606468474405E-2</v>
      </c>
    </row>
    <row r="681" spans="12:19" x14ac:dyDescent="0.35">
      <c r="L681" s="2">
        <v>0</v>
      </c>
      <c r="M681" s="2">
        <v>0.7</v>
      </c>
      <c r="N681" s="2">
        <v>0</v>
      </c>
      <c r="O681" s="2">
        <v>0</v>
      </c>
      <c r="P681" s="8">
        <v>0.3</v>
      </c>
      <c r="Q681" s="12">
        <f t="shared" si="71"/>
        <v>1.1508986799969551E-4</v>
      </c>
      <c r="R681" s="3">
        <f t="shared" si="72"/>
        <v>2.1854017816403992E-4</v>
      </c>
      <c r="S681" s="14">
        <f t="shared" si="73"/>
        <v>1.4783104483295784E-2</v>
      </c>
    </row>
    <row r="682" spans="12:19" x14ac:dyDescent="0.35">
      <c r="L682" s="2">
        <v>0.6</v>
      </c>
      <c r="M682" s="2">
        <v>0</v>
      </c>
      <c r="N682" s="2">
        <v>0.1</v>
      </c>
      <c r="O682" s="2">
        <v>0</v>
      </c>
      <c r="P682" s="8">
        <v>0.3</v>
      </c>
      <c r="Q682" s="12">
        <f t="shared" si="71"/>
        <v>-4.4195353131424773E-4</v>
      </c>
      <c r="R682" s="3">
        <f t="shared" si="72"/>
        <v>3.9926593836651952E-4</v>
      </c>
      <c r="S682" s="14">
        <f t="shared" si="73"/>
        <v>1.9981640031952321E-2</v>
      </c>
    </row>
    <row r="683" spans="12:19" x14ac:dyDescent="0.35">
      <c r="L683" s="2">
        <v>0.5</v>
      </c>
      <c r="M683" s="2">
        <v>0.1</v>
      </c>
      <c r="N683" s="2">
        <v>0.1</v>
      </c>
      <c r="O683" s="2">
        <v>0</v>
      </c>
      <c r="P683" s="8">
        <v>0.3</v>
      </c>
      <c r="Q683" s="12">
        <f t="shared" si="71"/>
        <v>-3.4169734256482901E-4</v>
      </c>
      <c r="R683" s="3">
        <f t="shared" si="72"/>
        <v>3.0171822985054862E-4</v>
      </c>
      <c r="S683" s="14">
        <f t="shared" si="73"/>
        <v>1.737003828005421E-2</v>
      </c>
    </row>
    <row r="684" spans="12:19" x14ac:dyDescent="0.35">
      <c r="L684" s="2">
        <v>0.4</v>
      </c>
      <c r="M684" s="2">
        <v>0.2</v>
      </c>
      <c r="N684" s="2">
        <v>0.1</v>
      </c>
      <c r="O684" s="2">
        <v>0</v>
      </c>
      <c r="P684" s="8">
        <v>0.3</v>
      </c>
      <c r="Q684" s="12">
        <f t="shared" si="71"/>
        <v>-2.4144115381541012E-4</v>
      </c>
      <c r="R684" s="3">
        <f t="shared" si="72"/>
        <v>2.2873850141570819E-4</v>
      </c>
      <c r="S684" s="14">
        <f t="shared" si="73"/>
        <v>1.5124103326006081E-2</v>
      </c>
    </row>
    <row r="685" spans="12:19" x14ac:dyDescent="0.35">
      <c r="L685" s="2">
        <v>0.3</v>
      </c>
      <c r="M685" s="2">
        <v>0.3</v>
      </c>
      <c r="N685" s="2">
        <v>0.1</v>
      </c>
      <c r="O685" s="2">
        <v>0</v>
      </c>
      <c r="P685" s="8">
        <v>0.3</v>
      </c>
      <c r="Q685" s="12">
        <f t="shared" si="71"/>
        <v>-1.411849650659913E-4</v>
      </c>
      <c r="R685" s="3">
        <f t="shared" si="72"/>
        <v>1.8032675306199817E-4</v>
      </c>
      <c r="S685" s="14">
        <f t="shared" si="73"/>
        <v>1.3428579711272454E-2</v>
      </c>
    </row>
    <row r="686" spans="12:19" x14ac:dyDescent="0.35">
      <c r="L686" s="2">
        <v>0.2</v>
      </c>
      <c r="M686" s="2">
        <v>0.4</v>
      </c>
      <c r="N686" s="2">
        <v>0.1</v>
      </c>
      <c r="O686" s="2">
        <v>0</v>
      </c>
      <c r="P686" s="8">
        <v>0.3</v>
      </c>
      <c r="Q686" s="12">
        <f t="shared" si="71"/>
        <v>-4.0928776316572467E-5</v>
      </c>
      <c r="R686" s="3">
        <f t="shared" si="72"/>
        <v>1.5648298478941874E-4</v>
      </c>
      <c r="S686" s="14">
        <f t="shared" si="73"/>
        <v>1.2509315920122041E-2</v>
      </c>
    </row>
    <row r="687" spans="12:19" x14ac:dyDescent="0.35">
      <c r="L687" s="2">
        <v>0.1</v>
      </c>
      <c r="M687" s="2">
        <v>0.5</v>
      </c>
      <c r="N687" s="2">
        <v>0.1</v>
      </c>
      <c r="O687" s="2">
        <v>0</v>
      </c>
      <c r="P687" s="8">
        <v>0.3</v>
      </c>
      <c r="Q687" s="12">
        <f t="shared" si="71"/>
        <v>5.9327412432846281E-5</v>
      </c>
      <c r="R687" s="3">
        <f t="shared" si="72"/>
        <v>1.572071965979697E-4</v>
      </c>
      <c r="S687" s="14">
        <f t="shared" si="73"/>
        <v>1.2538229404424282E-2</v>
      </c>
    </row>
    <row r="688" spans="12:19" x14ac:dyDescent="0.35">
      <c r="L688" s="2">
        <v>0</v>
      </c>
      <c r="M688" s="2">
        <v>0.6</v>
      </c>
      <c r="N688" s="2">
        <v>0.1</v>
      </c>
      <c r="O688" s="2">
        <v>0</v>
      </c>
      <c r="P688" s="8">
        <v>0.3</v>
      </c>
      <c r="Q688" s="12">
        <f t="shared" si="71"/>
        <v>1.5958360118226511E-4</v>
      </c>
      <c r="R688" s="3">
        <f t="shared" si="72"/>
        <v>1.8249938848765118E-4</v>
      </c>
      <c r="S688" s="14">
        <f t="shared" si="73"/>
        <v>1.3509233452999885E-2</v>
      </c>
    </row>
    <row r="689" spans="12:19" x14ac:dyDescent="0.35">
      <c r="L689" s="2">
        <v>0.5</v>
      </c>
      <c r="M689" s="2">
        <v>0</v>
      </c>
      <c r="N689" s="2">
        <v>0.2</v>
      </c>
      <c r="O689" s="2">
        <v>0</v>
      </c>
      <c r="P689" s="8">
        <v>0.3</v>
      </c>
      <c r="Q689" s="12">
        <f t="shared" si="71"/>
        <v>-2.9720360938225929E-4</v>
      </c>
      <c r="R689" s="3">
        <f t="shared" si="72"/>
        <v>3.0134443393005508E-4</v>
      </c>
      <c r="S689" s="14">
        <f t="shared" si="73"/>
        <v>1.7359275155664048E-2</v>
      </c>
    </row>
    <row r="690" spans="12:19" x14ac:dyDescent="0.35">
      <c r="L690" s="2">
        <v>0.4</v>
      </c>
      <c r="M690" s="2">
        <v>0.1</v>
      </c>
      <c r="N690" s="2">
        <v>0.2</v>
      </c>
      <c r="O690" s="2">
        <v>0</v>
      </c>
      <c r="P690" s="8">
        <v>0.3</v>
      </c>
      <c r="Q690" s="12">
        <f t="shared" si="71"/>
        <v>-1.9694742063284051E-4</v>
      </c>
      <c r="R690" s="3">
        <f t="shared" si="72"/>
        <v>2.2407101353802379E-4</v>
      </c>
      <c r="S690" s="14">
        <f t="shared" si="73"/>
        <v>1.4969001754894138E-2</v>
      </c>
    </row>
    <row r="691" spans="12:19" x14ac:dyDescent="0.35">
      <c r="L691" s="2">
        <v>0.3</v>
      </c>
      <c r="M691" s="2">
        <v>0.2</v>
      </c>
      <c r="N691" s="2">
        <v>0.2</v>
      </c>
      <c r="O691" s="2">
        <v>0</v>
      </c>
      <c r="P691" s="8">
        <v>0.3</v>
      </c>
      <c r="Q691" s="12">
        <f t="shared" si="71"/>
        <v>-9.6691231883421684E-5</v>
      </c>
      <c r="R691" s="3">
        <f t="shared" si="72"/>
        <v>1.7136557322712292E-4</v>
      </c>
      <c r="S691" s="14">
        <f t="shared" si="73"/>
        <v>1.3090667409537335E-2</v>
      </c>
    </row>
    <row r="692" spans="12:19" x14ac:dyDescent="0.35">
      <c r="L692" s="2">
        <v>0.2</v>
      </c>
      <c r="M692" s="2">
        <v>0.3</v>
      </c>
      <c r="N692" s="2">
        <v>0.2</v>
      </c>
      <c r="O692" s="2">
        <v>0</v>
      </c>
      <c r="P692" s="8">
        <v>0.3</v>
      </c>
      <c r="Q692" s="12">
        <f t="shared" si="71"/>
        <v>3.5649568659970902E-6</v>
      </c>
      <c r="R692" s="3">
        <f t="shared" si="72"/>
        <v>1.4322811299735254E-4</v>
      </c>
      <c r="S692" s="14">
        <f t="shared" si="73"/>
        <v>1.196779482600502E-2</v>
      </c>
    </row>
    <row r="693" spans="12:19" x14ac:dyDescent="0.35">
      <c r="L693" s="2">
        <v>0.1</v>
      </c>
      <c r="M693" s="2">
        <v>0.4</v>
      </c>
      <c r="N693" s="2">
        <v>0.2</v>
      </c>
      <c r="O693" s="2">
        <v>0</v>
      </c>
      <c r="P693" s="8">
        <v>0.3</v>
      </c>
      <c r="Q693" s="12">
        <f t="shared" si="71"/>
        <v>1.0382114561541593E-4</v>
      </c>
      <c r="R693" s="3">
        <f t="shared" si="72"/>
        <v>1.3965863284871269E-4</v>
      </c>
      <c r="S693" s="14">
        <f t="shared" si="73"/>
        <v>1.1817725366952504E-2</v>
      </c>
    </row>
    <row r="694" spans="12:19" x14ac:dyDescent="0.35">
      <c r="L694" s="2">
        <v>0</v>
      </c>
      <c r="M694" s="2">
        <v>0.5</v>
      </c>
      <c r="N694" s="2">
        <v>0.2</v>
      </c>
      <c r="O694" s="2">
        <v>0</v>
      </c>
      <c r="P694" s="8">
        <v>0.3</v>
      </c>
      <c r="Q694" s="12">
        <f t="shared" si="71"/>
        <v>2.0407733436483475E-4</v>
      </c>
      <c r="R694" s="3">
        <f t="shared" si="72"/>
        <v>1.6065713278120327E-4</v>
      </c>
      <c r="S694" s="14">
        <f t="shared" si="73"/>
        <v>1.2675059478408898E-2</v>
      </c>
    </row>
    <row r="695" spans="12:19" x14ac:dyDescent="0.35">
      <c r="L695" s="2">
        <v>0.4</v>
      </c>
      <c r="M695" s="2">
        <v>0</v>
      </c>
      <c r="N695" s="2">
        <v>0.3</v>
      </c>
      <c r="O695" s="2">
        <v>0</v>
      </c>
      <c r="P695" s="8">
        <v>0.3</v>
      </c>
      <c r="Q695" s="12">
        <f t="shared" si="71"/>
        <v>-1.524536874502709E-4</v>
      </c>
      <c r="R695" s="3">
        <f t="shared" si="72"/>
        <v>2.3360205963028022E-4</v>
      </c>
      <c r="S695" s="14">
        <f t="shared" si="73"/>
        <v>1.5284045918220746E-2</v>
      </c>
    </row>
    <row r="696" spans="12:19" x14ac:dyDescent="0.35">
      <c r="L696" s="2">
        <v>0.3</v>
      </c>
      <c r="M696" s="2">
        <v>0.1</v>
      </c>
      <c r="N696" s="2">
        <v>0.3</v>
      </c>
      <c r="O696" s="2">
        <v>0</v>
      </c>
      <c r="P696" s="8">
        <v>0.3</v>
      </c>
      <c r="Q696" s="12">
        <f t="shared" si="71"/>
        <v>-5.2197498700852019E-5</v>
      </c>
      <c r="R696" s="3">
        <f t="shared" si="72"/>
        <v>1.7660292736218841E-4</v>
      </c>
      <c r="S696" s="14">
        <f t="shared" si="73"/>
        <v>1.3289203413379917E-2</v>
      </c>
    </row>
    <row r="697" spans="12:19" x14ac:dyDescent="0.35">
      <c r="L697" s="2">
        <v>0.2</v>
      </c>
      <c r="M697" s="2">
        <v>0.2</v>
      </c>
      <c r="N697" s="2">
        <v>0.3</v>
      </c>
      <c r="O697" s="2">
        <v>0</v>
      </c>
      <c r="P697" s="8">
        <v>0.3</v>
      </c>
      <c r="Q697" s="12">
        <f t="shared" si="71"/>
        <v>4.8058690048566701E-5</v>
      </c>
      <c r="R697" s="3">
        <f t="shared" si="72"/>
        <v>1.4417177517522719E-4</v>
      </c>
      <c r="S697" s="14">
        <f t="shared" si="73"/>
        <v>1.2007155165784574E-2</v>
      </c>
    </row>
    <row r="698" spans="12:19" x14ac:dyDescent="0.35">
      <c r="L698" s="2">
        <v>0.1</v>
      </c>
      <c r="M698" s="2">
        <v>0.3</v>
      </c>
      <c r="N698" s="2">
        <v>0.3</v>
      </c>
      <c r="O698" s="2">
        <v>0</v>
      </c>
      <c r="P698" s="8">
        <v>0.3</v>
      </c>
      <c r="Q698" s="12">
        <f t="shared" si="71"/>
        <v>1.4831487879798553E-4</v>
      </c>
      <c r="R698" s="3">
        <f t="shared" si="72"/>
        <v>1.3630860306939642E-4</v>
      </c>
      <c r="S698" s="14">
        <f t="shared" si="73"/>
        <v>1.1675127539748609E-2</v>
      </c>
    </row>
    <row r="699" spans="12:19" x14ac:dyDescent="0.35">
      <c r="L699" s="2">
        <v>0</v>
      </c>
      <c r="M699" s="2">
        <v>0.4</v>
      </c>
      <c r="N699" s="2">
        <v>0.3</v>
      </c>
      <c r="O699" s="2">
        <v>0</v>
      </c>
      <c r="P699" s="8">
        <v>0.3</v>
      </c>
      <c r="Q699" s="12">
        <f t="shared" si="71"/>
        <v>2.4857106754740436E-4</v>
      </c>
      <c r="R699" s="3">
        <f t="shared" si="72"/>
        <v>1.5301341104469616E-4</v>
      </c>
      <c r="S699" s="14">
        <f t="shared" si="73"/>
        <v>1.23698589743253E-2</v>
      </c>
    </row>
    <row r="700" spans="12:19" x14ac:dyDescent="0.35">
      <c r="L700" s="2">
        <v>0.3</v>
      </c>
      <c r="M700" s="2">
        <v>0</v>
      </c>
      <c r="N700" s="2">
        <v>0.4</v>
      </c>
      <c r="O700" s="2">
        <v>0</v>
      </c>
      <c r="P700" s="8">
        <v>0.3</v>
      </c>
      <c r="Q700" s="12">
        <f t="shared" si="71"/>
        <v>-7.703765518282435E-6</v>
      </c>
      <c r="R700" s="3">
        <f t="shared" si="72"/>
        <v>1.9603881546719482E-4</v>
      </c>
      <c r="S700" s="14">
        <f t="shared" si="73"/>
        <v>1.4001386198058921E-2</v>
      </c>
    </row>
    <row r="701" spans="12:19" x14ac:dyDescent="0.35">
      <c r="L701" s="2">
        <v>0.2</v>
      </c>
      <c r="M701" s="2">
        <v>0.1</v>
      </c>
      <c r="N701" s="2">
        <v>0.4</v>
      </c>
      <c r="O701" s="2">
        <v>0</v>
      </c>
      <c r="P701" s="8">
        <v>0.3</v>
      </c>
      <c r="Q701" s="12">
        <f t="shared" si="71"/>
        <v>9.2552423231136339E-5</v>
      </c>
      <c r="R701" s="3">
        <f t="shared" si="72"/>
        <v>1.5931397132304268E-4</v>
      </c>
      <c r="S701" s="14">
        <f t="shared" si="73"/>
        <v>1.2621963845735048E-2</v>
      </c>
    </row>
    <row r="702" spans="12:19" x14ac:dyDescent="0.35">
      <c r="L702" s="2">
        <v>0.1</v>
      </c>
      <c r="M702" s="2">
        <v>0.2</v>
      </c>
      <c r="N702" s="2">
        <v>0.4</v>
      </c>
      <c r="O702" s="2">
        <v>0</v>
      </c>
      <c r="P702" s="8">
        <v>0.3</v>
      </c>
      <c r="Q702" s="12">
        <f t="shared" si="71"/>
        <v>1.9280861198055517E-4</v>
      </c>
      <c r="R702" s="3">
        <f t="shared" si="72"/>
        <v>1.4715710726002104E-4</v>
      </c>
      <c r="S702" s="14">
        <f t="shared" si="73"/>
        <v>1.2130832916993831E-2</v>
      </c>
    </row>
    <row r="703" spans="12:19" x14ac:dyDescent="0.35">
      <c r="L703" s="2">
        <v>0</v>
      </c>
      <c r="M703" s="2">
        <v>0.3</v>
      </c>
      <c r="N703" s="2">
        <v>0.4</v>
      </c>
      <c r="O703" s="2">
        <v>0</v>
      </c>
      <c r="P703" s="8">
        <v>0.3</v>
      </c>
      <c r="Q703" s="12">
        <f t="shared" si="71"/>
        <v>2.9306480072997397E-4</v>
      </c>
      <c r="R703" s="3">
        <f t="shared" si="72"/>
        <v>1.5956822327812983E-4</v>
      </c>
      <c r="S703" s="14">
        <f t="shared" si="73"/>
        <v>1.2632031636998454E-2</v>
      </c>
    </row>
    <row r="704" spans="12:19" x14ac:dyDescent="0.35">
      <c r="L704" s="2">
        <v>0.2</v>
      </c>
      <c r="M704" s="2">
        <v>0</v>
      </c>
      <c r="N704" s="2">
        <v>0.5</v>
      </c>
      <c r="O704" s="2">
        <v>0</v>
      </c>
      <c r="P704" s="8">
        <v>0.3</v>
      </c>
      <c r="Q704" s="12">
        <f t="shared" si="71"/>
        <v>1.3704615641370595E-4</v>
      </c>
      <c r="R704" s="3">
        <f t="shared" si="72"/>
        <v>1.8865470144079896E-4</v>
      </c>
      <c r="S704" s="14">
        <f t="shared" si="73"/>
        <v>1.3735162956470483E-2</v>
      </c>
    </row>
    <row r="705" spans="12:19" x14ac:dyDescent="0.35">
      <c r="L705" s="2">
        <v>0.1</v>
      </c>
      <c r="M705" s="2">
        <v>0.1</v>
      </c>
      <c r="N705" s="2">
        <v>0.5</v>
      </c>
      <c r="O705" s="2">
        <v>0</v>
      </c>
      <c r="P705" s="8">
        <v>0.3</v>
      </c>
      <c r="Q705" s="12">
        <f t="shared" si="71"/>
        <v>2.3730234516312475E-4</v>
      </c>
      <c r="R705" s="3">
        <f t="shared" si="72"/>
        <v>1.722041454205864E-4</v>
      </c>
      <c r="S705" s="14">
        <f t="shared" si="73"/>
        <v>1.3122657711781801E-2</v>
      </c>
    </row>
    <row r="706" spans="12:19" x14ac:dyDescent="0.35">
      <c r="L706" s="2">
        <v>0</v>
      </c>
      <c r="M706" s="2">
        <v>0.2</v>
      </c>
      <c r="N706" s="2">
        <v>0.5</v>
      </c>
      <c r="O706" s="2">
        <v>0</v>
      </c>
      <c r="P706" s="8">
        <v>0.3</v>
      </c>
      <c r="Q706" s="12">
        <f t="shared" si="71"/>
        <v>3.3755853391254358E-4</v>
      </c>
      <c r="R706" s="3">
        <f t="shared" si="72"/>
        <v>1.8032156948150438E-4</v>
      </c>
      <c r="S706" s="14">
        <f t="shared" si="73"/>
        <v>1.3428386704347785E-2</v>
      </c>
    </row>
    <row r="707" spans="12:19" x14ac:dyDescent="0.35">
      <c r="L707" s="2">
        <v>0.1</v>
      </c>
      <c r="M707" s="2">
        <v>0</v>
      </c>
      <c r="N707" s="2">
        <v>0.6</v>
      </c>
      <c r="O707" s="2">
        <v>0</v>
      </c>
      <c r="P707" s="8">
        <v>0.3</v>
      </c>
      <c r="Q707" s="12">
        <f t="shared" ref="Q707:Q770" si="74">SUMPRODUCT($U$5:$Y$5,L707:P707)</f>
        <v>2.8179607834569436E-4</v>
      </c>
      <c r="R707" s="3">
        <f t="shared" ref="R707:R770" si="75">POWER(L707,2)*$V$9+POWER(M707,2)*$W$10+POWER(N707,2)*$X$11+POWER(O707,2)*$Y$12+POWER(P707,2)*$Z$13+2*(L707*M707*$V$10+N707*O707*$X$12+N707*P707*$X$13+$O$3*P707*$Y$13+L707*N707*$V$11+L707*O707*$V$12+L707*P707*$V$13+M707*N707*$W$11+M707*O707*$W$12+M707*P707*$W$13)</f>
        <v>2.1144971755109263E-4</v>
      </c>
      <c r="S707" s="14">
        <f t="shared" si="73"/>
        <v>1.4541310723283945E-2</v>
      </c>
    </row>
    <row r="708" spans="12:19" x14ac:dyDescent="0.35">
      <c r="L708" s="2">
        <v>0</v>
      </c>
      <c r="M708" s="2">
        <v>0.1</v>
      </c>
      <c r="N708" s="2">
        <v>0.6</v>
      </c>
      <c r="O708" s="2">
        <v>0</v>
      </c>
      <c r="P708" s="8">
        <v>0.3</v>
      </c>
      <c r="Q708" s="12">
        <f t="shared" si="74"/>
        <v>3.8205226709511319E-4</v>
      </c>
      <c r="R708" s="3">
        <f t="shared" si="75"/>
        <v>2.1527344965481968E-4</v>
      </c>
      <c r="S708" s="14">
        <f t="shared" ref="S708:S771" si="76">SQRT(R708)</f>
        <v>1.4672199891455257E-2</v>
      </c>
    </row>
    <row r="709" spans="12:19" x14ac:dyDescent="0.35">
      <c r="L709" s="2">
        <v>0</v>
      </c>
      <c r="M709" s="2">
        <v>0</v>
      </c>
      <c r="N709" s="2">
        <v>0.7</v>
      </c>
      <c r="O709" s="2">
        <v>0</v>
      </c>
      <c r="P709" s="8">
        <v>0.3</v>
      </c>
      <c r="Q709" s="12">
        <f t="shared" si="74"/>
        <v>4.265460002776828E-4</v>
      </c>
      <c r="R709" s="3">
        <f t="shared" si="75"/>
        <v>2.6442386379807578E-4</v>
      </c>
      <c r="S709" s="14">
        <f t="shared" si="76"/>
        <v>1.62611150847067E-2</v>
      </c>
    </row>
    <row r="710" spans="12:19" x14ac:dyDescent="0.35">
      <c r="L710" s="2">
        <v>0.6</v>
      </c>
      <c r="M710" s="2">
        <v>0</v>
      </c>
      <c r="N710" s="2">
        <v>0</v>
      </c>
      <c r="O710" s="2">
        <v>0.1</v>
      </c>
      <c r="P710" s="8">
        <v>0.3</v>
      </c>
      <c r="Q710" s="12">
        <f t="shared" si="74"/>
        <v>-4.4415165938230488E-4</v>
      </c>
      <c r="R710" s="3">
        <f t="shared" si="75"/>
        <v>4.0040394846856218E-4</v>
      </c>
      <c r="S710" s="14">
        <f t="shared" si="76"/>
        <v>2.0010096163401169E-2</v>
      </c>
    </row>
    <row r="711" spans="12:19" x14ac:dyDescent="0.35">
      <c r="L711" s="2">
        <v>0.5</v>
      </c>
      <c r="M711" s="2">
        <v>0.1</v>
      </c>
      <c r="N711" s="2">
        <v>0</v>
      </c>
      <c r="O711" s="2">
        <v>0.1</v>
      </c>
      <c r="P711" s="8">
        <v>0.3</v>
      </c>
      <c r="Q711" s="12">
        <f t="shared" si="74"/>
        <v>-3.4389547063288616E-4</v>
      </c>
      <c r="R711" s="3">
        <f t="shared" si="75"/>
        <v>3.0151774584614435E-4</v>
      </c>
      <c r="S711" s="14">
        <f t="shared" si="76"/>
        <v>1.7364266349205324E-2</v>
      </c>
    </row>
    <row r="712" spans="12:19" x14ac:dyDescent="0.35">
      <c r="L712" s="2">
        <v>0.4</v>
      </c>
      <c r="M712" s="2">
        <v>0.2</v>
      </c>
      <c r="N712" s="2">
        <v>0</v>
      </c>
      <c r="O712" s="2">
        <v>0.1</v>
      </c>
      <c r="P712" s="8">
        <v>0.3</v>
      </c>
      <c r="Q712" s="12">
        <f t="shared" si="74"/>
        <v>-2.4363928188346739E-4</v>
      </c>
      <c r="R712" s="3">
        <f t="shared" si="75"/>
        <v>2.2719952330485697E-4</v>
      </c>
      <c r="S712" s="14">
        <f t="shared" si="76"/>
        <v>1.5073139132405598E-2</v>
      </c>
    </row>
    <row r="713" spans="12:19" x14ac:dyDescent="0.35">
      <c r="L713" s="2">
        <v>0.3</v>
      </c>
      <c r="M713" s="2">
        <v>0.3</v>
      </c>
      <c r="N713" s="2">
        <v>0</v>
      </c>
      <c r="O713" s="2">
        <v>0.1</v>
      </c>
      <c r="P713" s="8">
        <v>0.3</v>
      </c>
      <c r="Q713" s="12">
        <f t="shared" si="74"/>
        <v>-1.4338309313404856E-4</v>
      </c>
      <c r="R713" s="3">
        <f t="shared" si="75"/>
        <v>1.7744928084470002E-4</v>
      </c>
      <c r="S713" s="14">
        <f t="shared" si="76"/>
        <v>1.3321009002500524E-2</v>
      </c>
    </row>
    <row r="714" spans="12:19" x14ac:dyDescent="0.35">
      <c r="L714" s="2">
        <v>0.2</v>
      </c>
      <c r="M714" s="2">
        <v>0.4</v>
      </c>
      <c r="N714" s="2">
        <v>0</v>
      </c>
      <c r="O714" s="2">
        <v>0.1</v>
      </c>
      <c r="P714" s="8">
        <v>0.3</v>
      </c>
      <c r="Q714" s="12">
        <f t="shared" si="74"/>
        <v>-4.3126904384629733E-5</v>
      </c>
      <c r="R714" s="3">
        <f t="shared" si="75"/>
        <v>1.5226701846567361E-4</v>
      </c>
      <c r="S714" s="14">
        <f t="shared" si="76"/>
        <v>1.2339652283013229E-2</v>
      </c>
    </row>
    <row r="715" spans="12:19" x14ac:dyDescent="0.35">
      <c r="L715" s="2">
        <v>0.1</v>
      </c>
      <c r="M715" s="2">
        <v>0.5</v>
      </c>
      <c r="N715" s="2">
        <v>0</v>
      </c>
      <c r="O715" s="2">
        <v>0.1</v>
      </c>
      <c r="P715" s="8">
        <v>0.3</v>
      </c>
      <c r="Q715" s="12">
        <f t="shared" si="74"/>
        <v>5.7129284364789069E-5</v>
      </c>
      <c r="R715" s="3">
        <f t="shared" si="75"/>
        <v>1.5165273616777765E-4</v>
      </c>
      <c r="S715" s="14">
        <f t="shared" si="76"/>
        <v>1.2314736544797767E-2</v>
      </c>
    </row>
    <row r="716" spans="12:19" x14ac:dyDescent="0.35">
      <c r="L716" s="2">
        <v>0</v>
      </c>
      <c r="M716" s="2">
        <v>0.6</v>
      </c>
      <c r="N716" s="2">
        <v>0</v>
      </c>
      <c r="O716" s="2">
        <v>0.1</v>
      </c>
      <c r="P716" s="8">
        <v>0.3</v>
      </c>
      <c r="Q716" s="12">
        <f t="shared" si="74"/>
        <v>1.573854731142079E-4</v>
      </c>
      <c r="R716" s="3">
        <f t="shared" si="75"/>
        <v>1.7560643395101219E-4</v>
      </c>
      <c r="S716" s="14">
        <f t="shared" si="76"/>
        <v>1.3251657781236739E-2</v>
      </c>
    </row>
    <row r="717" spans="12:19" x14ac:dyDescent="0.35">
      <c r="L717" s="2">
        <v>0.5</v>
      </c>
      <c r="M717" s="2">
        <v>0</v>
      </c>
      <c r="N717" s="2">
        <v>0.1</v>
      </c>
      <c r="O717" s="2">
        <v>0.1</v>
      </c>
      <c r="P717" s="8">
        <v>0.3</v>
      </c>
      <c r="Q717" s="12">
        <f t="shared" si="74"/>
        <v>-2.9940173745031655E-4</v>
      </c>
      <c r="R717" s="3">
        <f t="shared" si="75"/>
        <v>2.9342691054000701E-4</v>
      </c>
      <c r="S717" s="14">
        <f t="shared" si="76"/>
        <v>1.7129708419585169E-2</v>
      </c>
    </row>
    <row r="718" spans="12:19" x14ac:dyDescent="0.35">
      <c r="L718" s="2">
        <v>0.4</v>
      </c>
      <c r="M718" s="2">
        <v>0.1</v>
      </c>
      <c r="N718" s="2">
        <v>0.1</v>
      </c>
      <c r="O718" s="2">
        <v>0.1</v>
      </c>
      <c r="P718" s="8">
        <v>0.3</v>
      </c>
      <c r="Q718" s="12">
        <f t="shared" si="74"/>
        <v>-1.9914554870089772E-4</v>
      </c>
      <c r="R718" s="3">
        <f t="shared" si="75"/>
        <v>2.1481499604152871E-4</v>
      </c>
      <c r="S718" s="14">
        <f t="shared" si="76"/>
        <v>1.4656568358300271E-2</v>
      </c>
    </row>
    <row r="719" spans="12:19" x14ac:dyDescent="0.35">
      <c r="L719" s="2">
        <v>0.3</v>
      </c>
      <c r="M719" s="2">
        <v>0.2</v>
      </c>
      <c r="N719" s="2">
        <v>0.1</v>
      </c>
      <c r="O719" s="2">
        <v>0.1</v>
      </c>
      <c r="P719" s="8">
        <v>0.3</v>
      </c>
      <c r="Q719" s="12">
        <f t="shared" si="74"/>
        <v>-9.8889359951478896E-5</v>
      </c>
      <c r="R719" s="3">
        <f t="shared" si="75"/>
        <v>1.6077106162418092E-4</v>
      </c>
      <c r="S719" s="14">
        <f t="shared" si="76"/>
        <v>1.2679552895279111E-2</v>
      </c>
    </row>
    <row r="720" spans="12:19" x14ac:dyDescent="0.35">
      <c r="L720" s="2">
        <v>0.2</v>
      </c>
      <c r="M720" s="2">
        <v>0.3</v>
      </c>
      <c r="N720" s="2">
        <v>0.1</v>
      </c>
      <c r="O720" s="2">
        <v>0.1</v>
      </c>
      <c r="P720" s="8">
        <v>0.3</v>
      </c>
      <c r="Q720" s="12">
        <f t="shared" si="74"/>
        <v>1.3668287979399054E-6</v>
      </c>
      <c r="R720" s="3">
        <f t="shared" si="75"/>
        <v>1.3129510728796358E-4</v>
      </c>
      <c r="S720" s="14">
        <f t="shared" si="76"/>
        <v>1.1458407711718221E-2</v>
      </c>
    </row>
    <row r="721" spans="12:19" x14ac:dyDescent="0.35">
      <c r="L721" s="2">
        <v>0.1</v>
      </c>
      <c r="M721" s="2">
        <v>0.4</v>
      </c>
      <c r="N721" s="2">
        <v>0.1</v>
      </c>
      <c r="O721" s="2">
        <v>0.1</v>
      </c>
      <c r="P721" s="8">
        <v>0.3</v>
      </c>
      <c r="Q721" s="12">
        <f t="shared" si="74"/>
        <v>1.0162301754735871E-4</v>
      </c>
      <c r="R721" s="3">
        <f t="shared" si="75"/>
        <v>1.2638713303287678E-4</v>
      </c>
      <c r="S721" s="14">
        <f t="shared" si="76"/>
        <v>1.1242203210797996E-2</v>
      </c>
    </row>
    <row r="722" spans="12:19" x14ac:dyDescent="0.35">
      <c r="L722" s="2">
        <v>0</v>
      </c>
      <c r="M722" s="2">
        <v>0.5</v>
      </c>
      <c r="N722" s="2">
        <v>0.1</v>
      </c>
      <c r="O722" s="2">
        <v>0.1</v>
      </c>
      <c r="P722" s="8">
        <v>0.3</v>
      </c>
      <c r="Q722" s="12">
        <f t="shared" si="74"/>
        <v>2.0187920629677751E-4</v>
      </c>
      <c r="R722" s="3">
        <f t="shared" si="75"/>
        <v>1.4604713885892043E-4</v>
      </c>
      <c r="S722" s="14">
        <f t="shared" si="76"/>
        <v>1.2084996436032591E-2</v>
      </c>
    </row>
    <row r="723" spans="12:19" x14ac:dyDescent="0.35">
      <c r="L723" s="2">
        <v>0.4</v>
      </c>
      <c r="M723" s="2">
        <v>0</v>
      </c>
      <c r="N723" s="2">
        <v>0.2</v>
      </c>
      <c r="O723" s="2">
        <v>0.1</v>
      </c>
      <c r="P723" s="8">
        <v>0.3</v>
      </c>
      <c r="Q723" s="12">
        <f t="shared" si="74"/>
        <v>-1.5465181551832817E-4</v>
      </c>
      <c r="R723" s="3">
        <f t="shared" si="75"/>
        <v>2.1662900274814129E-4</v>
      </c>
      <c r="S723" s="14">
        <f t="shared" si="76"/>
        <v>1.4718322008576293E-2</v>
      </c>
    </row>
    <row r="724" spans="12:19" x14ac:dyDescent="0.35">
      <c r="L724" s="2">
        <v>0.3</v>
      </c>
      <c r="M724" s="2">
        <v>0.1</v>
      </c>
      <c r="N724" s="2">
        <v>0.2</v>
      </c>
      <c r="O724" s="2">
        <v>0.1</v>
      </c>
      <c r="P724" s="8">
        <v>0.3</v>
      </c>
      <c r="Q724" s="12">
        <f t="shared" si="74"/>
        <v>-5.4395626768909285E-5</v>
      </c>
      <c r="R724" s="3">
        <f t="shared" si="75"/>
        <v>1.5829137637360261E-4</v>
      </c>
      <c r="S724" s="14">
        <f t="shared" si="76"/>
        <v>1.2581390081131839E-2</v>
      </c>
    </row>
    <row r="725" spans="12:19" x14ac:dyDescent="0.35">
      <c r="L725" s="2">
        <v>0.2</v>
      </c>
      <c r="M725" s="2">
        <v>0.2</v>
      </c>
      <c r="N725" s="2">
        <v>0.2</v>
      </c>
      <c r="O725" s="2">
        <v>0.1</v>
      </c>
      <c r="P725" s="8">
        <v>0.3</v>
      </c>
      <c r="Q725" s="12">
        <f t="shared" si="74"/>
        <v>4.5860561980509462E-5</v>
      </c>
      <c r="R725" s="3">
        <f t="shared" si="75"/>
        <v>1.245217300801944E-4</v>
      </c>
      <c r="S725" s="14">
        <f t="shared" si="76"/>
        <v>1.1158930507902377E-2</v>
      </c>
    </row>
    <row r="726" spans="12:19" x14ac:dyDescent="0.35">
      <c r="L726" s="2">
        <v>0.1</v>
      </c>
      <c r="M726" s="2">
        <v>0.3</v>
      </c>
      <c r="N726" s="2">
        <v>0.2</v>
      </c>
      <c r="O726" s="2">
        <v>0.1</v>
      </c>
      <c r="P726" s="8">
        <v>0.3</v>
      </c>
      <c r="Q726" s="12">
        <f t="shared" si="74"/>
        <v>1.4611675072992832E-4</v>
      </c>
      <c r="R726" s="3">
        <f t="shared" si="75"/>
        <v>1.1532006386791668E-4</v>
      </c>
      <c r="S726" s="14">
        <f t="shared" si="76"/>
        <v>1.0738717980649119E-2</v>
      </c>
    </row>
    <row r="727" spans="12:19" x14ac:dyDescent="0.35">
      <c r="L727" s="2">
        <v>0</v>
      </c>
      <c r="M727" s="2">
        <v>0.4</v>
      </c>
      <c r="N727" s="2">
        <v>0.2</v>
      </c>
      <c r="O727" s="2">
        <v>0.1</v>
      </c>
      <c r="P727" s="8">
        <v>0.3</v>
      </c>
      <c r="Q727" s="12">
        <f t="shared" si="74"/>
        <v>2.4637293947934715E-4</v>
      </c>
      <c r="R727" s="3">
        <f t="shared" si="75"/>
        <v>1.3068637773676946E-4</v>
      </c>
      <c r="S727" s="14">
        <f t="shared" si="76"/>
        <v>1.1431814280190588E-2</v>
      </c>
    </row>
    <row r="728" spans="12:19" x14ac:dyDescent="0.35">
      <c r="L728" s="2">
        <v>0.3</v>
      </c>
      <c r="M728" s="2">
        <v>0</v>
      </c>
      <c r="N728" s="2">
        <v>0.3</v>
      </c>
      <c r="O728" s="2">
        <v>0.1</v>
      </c>
      <c r="P728" s="8">
        <v>0.3</v>
      </c>
      <c r="Q728" s="12">
        <f t="shared" si="74"/>
        <v>-9.9018935863396469E-6</v>
      </c>
      <c r="R728" s="3">
        <f t="shared" si="75"/>
        <v>1.7001022509296508E-4</v>
      </c>
      <c r="S728" s="14">
        <f t="shared" si="76"/>
        <v>1.3038796918924886E-2</v>
      </c>
    </row>
    <row r="729" spans="12:19" x14ac:dyDescent="0.35">
      <c r="L729" s="2">
        <v>0.2</v>
      </c>
      <c r="M729" s="2">
        <v>0.1</v>
      </c>
      <c r="N729" s="2">
        <v>0.3</v>
      </c>
      <c r="O729" s="2">
        <v>0.1</v>
      </c>
      <c r="P729" s="8">
        <v>0.3</v>
      </c>
      <c r="Q729" s="12">
        <f t="shared" si="74"/>
        <v>9.0354295163079128E-5</v>
      </c>
      <c r="R729" s="3">
        <f t="shared" si="75"/>
        <v>1.3194688684236604E-4</v>
      </c>
      <c r="S729" s="14">
        <f t="shared" si="76"/>
        <v>1.1486813607017659E-2</v>
      </c>
    </row>
    <row r="730" spans="12:19" x14ac:dyDescent="0.35">
      <c r="L730" s="2">
        <v>0.1</v>
      </c>
      <c r="M730" s="2">
        <v>0.2</v>
      </c>
      <c r="N730" s="2">
        <v>0.3</v>
      </c>
      <c r="O730" s="2">
        <v>0.1</v>
      </c>
      <c r="P730" s="8">
        <v>0.3</v>
      </c>
      <c r="Q730" s="12">
        <f t="shared" si="74"/>
        <v>1.9061048391249793E-4</v>
      </c>
      <c r="R730" s="3">
        <f t="shared" si="75"/>
        <v>1.1845152867289742E-4</v>
      </c>
      <c r="S730" s="14">
        <f t="shared" si="76"/>
        <v>1.088354393903463E-2</v>
      </c>
    </row>
    <row r="731" spans="12:19" x14ac:dyDescent="0.35">
      <c r="L731" s="2">
        <v>0</v>
      </c>
      <c r="M731" s="2">
        <v>0.3</v>
      </c>
      <c r="N731" s="2">
        <v>0.3</v>
      </c>
      <c r="O731" s="2">
        <v>0.1</v>
      </c>
      <c r="P731" s="8">
        <v>0.3</v>
      </c>
      <c r="Q731" s="12">
        <f t="shared" si="74"/>
        <v>2.9086667266191676E-4</v>
      </c>
      <c r="R731" s="3">
        <f t="shared" si="75"/>
        <v>1.2952415058455931E-4</v>
      </c>
      <c r="S731" s="14">
        <f t="shared" si="76"/>
        <v>1.1380867743039601E-2</v>
      </c>
    </row>
    <row r="732" spans="12:19" x14ac:dyDescent="0.35">
      <c r="L732" s="2">
        <v>0.2</v>
      </c>
      <c r="M732" s="2">
        <v>0</v>
      </c>
      <c r="N732" s="2">
        <v>0.4</v>
      </c>
      <c r="O732" s="2">
        <v>0.1</v>
      </c>
      <c r="P732" s="8">
        <v>0.3</v>
      </c>
      <c r="Q732" s="12">
        <f t="shared" si="74"/>
        <v>1.3484802834564874E-4</v>
      </c>
      <c r="R732" s="3">
        <f t="shared" si="75"/>
        <v>1.5357057757447849E-4</v>
      </c>
      <c r="S732" s="14">
        <f t="shared" si="76"/>
        <v>1.2392359645139359E-2</v>
      </c>
    </row>
    <row r="733" spans="12:19" x14ac:dyDescent="0.35">
      <c r="L733" s="2">
        <v>0.1</v>
      </c>
      <c r="M733" s="2">
        <v>0.1</v>
      </c>
      <c r="N733" s="2">
        <v>0.4</v>
      </c>
      <c r="O733" s="2">
        <v>0.1</v>
      </c>
      <c r="P733" s="8">
        <v>0.3</v>
      </c>
      <c r="Q733" s="12">
        <f t="shared" si="74"/>
        <v>2.3510421709506754E-4</v>
      </c>
      <c r="R733" s="3">
        <f t="shared" si="75"/>
        <v>1.35781527447819E-4</v>
      </c>
      <c r="S733" s="14">
        <f t="shared" si="76"/>
        <v>1.1652533091470669E-2</v>
      </c>
    </row>
    <row r="734" spans="12:19" x14ac:dyDescent="0.35">
      <c r="L734" s="2">
        <v>0</v>
      </c>
      <c r="M734" s="2">
        <v>0.2</v>
      </c>
      <c r="N734" s="2">
        <v>0.4</v>
      </c>
      <c r="O734" s="2">
        <v>0.1</v>
      </c>
      <c r="P734" s="8">
        <v>0.3</v>
      </c>
      <c r="Q734" s="12">
        <f t="shared" si="74"/>
        <v>3.3536040584448637E-4</v>
      </c>
      <c r="R734" s="3">
        <f t="shared" si="75"/>
        <v>1.4256045740229003E-4</v>
      </c>
      <c r="S734" s="14">
        <f t="shared" si="76"/>
        <v>1.1939868399705669E-2</v>
      </c>
    </row>
    <row r="735" spans="12:19" x14ac:dyDescent="0.35">
      <c r="L735" s="2">
        <v>0.1</v>
      </c>
      <c r="M735" s="2">
        <v>0</v>
      </c>
      <c r="N735" s="2">
        <v>0.5</v>
      </c>
      <c r="O735" s="2">
        <v>0.1</v>
      </c>
      <c r="P735" s="8">
        <v>0.3</v>
      </c>
      <c r="Q735" s="12">
        <f t="shared" si="74"/>
        <v>2.7959795027763715E-4</v>
      </c>
      <c r="R735" s="3">
        <f t="shared" si="75"/>
        <v>1.6731006019268135E-4</v>
      </c>
      <c r="S735" s="14">
        <f t="shared" si="76"/>
        <v>1.293483900915204E-2</v>
      </c>
    </row>
    <row r="736" spans="12:19" x14ac:dyDescent="0.35">
      <c r="L736" s="2">
        <v>0</v>
      </c>
      <c r="M736" s="2">
        <v>0.1</v>
      </c>
      <c r="N736" s="2">
        <v>0.5</v>
      </c>
      <c r="O736" s="2">
        <v>0.1</v>
      </c>
      <c r="P736" s="8">
        <v>0.3</v>
      </c>
      <c r="Q736" s="12">
        <f t="shared" si="74"/>
        <v>3.7985413902705598E-4</v>
      </c>
      <c r="R736" s="3">
        <f t="shared" si="75"/>
        <v>1.6979529818996148E-4</v>
      </c>
      <c r="S736" s="14">
        <f t="shared" si="76"/>
        <v>1.3030552489820279E-2</v>
      </c>
    </row>
    <row r="737" spans="12:19" x14ac:dyDescent="0.35">
      <c r="L737" s="2">
        <v>0</v>
      </c>
      <c r="M737" s="2">
        <v>0</v>
      </c>
      <c r="N737" s="2">
        <v>0.6</v>
      </c>
      <c r="O737" s="2">
        <v>0.1</v>
      </c>
      <c r="P737" s="8">
        <v>0.3</v>
      </c>
      <c r="Q737" s="12">
        <f t="shared" si="74"/>
        <v>4.2434787220962559E-4</v>
      </c>
      <c r="R737" s="3">
        <f t="shared" si="75"/>
        <v>2.1122867294757374E-4</v>
      </c>
      <c r="S737" s="14">
        <f t="shared" si="76"/>
        <v>1.4533708162322984E-2</v>
      </c>
    </row>
    <row r="738" spans="12:19" x14ac:dyDescent="0.35">
      <c r="L738" s="2">
        <v>0.5</v>
      </c>
      <c r="M738" s="2">
        <v>0</v>
      </c>
      <c r="N738" s="2">
        <v>0</v>
      </c>
      <c r="O738" s="2">
        <v>0.2</v>
      </c>
      <c r="P738" s="8">
        <v>0.3</v>
      </c>
      <c r="Q738" s="12">
        <f t="shared" si="74"/>
        <v>-3.0159986551837382E-4</v>
      </c>
      <c r="R738" s="3">
        <f t="shared" si="75"/>
        <v>2.9721927146160405E-4</v>
      </c>
      <c r="S738" s="14">
        <f t="shared" si="76"/>
        <v>1.7240048476196465E-2</v>
      </c>
    </row>
    <row r="739" spans="12:19" x14ac:dyDescent="0.35">
      <c r="L739" s="2">
        <v>0.4</v>
      </c>
      <c r="M739" s="2">
        <v>0.1</v>
      </c>
      <c r="N739" s="2">
        <v>0</v>
      </c>
      <c r="O739" s="2">
        <v>0.2</v>
      </c>
      <c r="P739" s="8">
        <v>0.3</v>
      </c>
      <c r="Q739" s="12">
        <f t="shared" si="74"/>
        <v>-2.0134367676895494E-4</v>
      </c>
      <c r="R739" s="3">
        <f t="shared" si="75"/>
        <v>2.1726886285667888E-4</v>
      </c>
      <c r="S739" s="14">
        <f t="shared" si="76"/>
        <v>1.474004283768127E-2</v>
      </c>
    </row>
    <row r="740" spans="12:19" x14ac:dyDescent="0.35">
      <c r="L740" s="2">
        <v>0.3</v>
      </c>
      <c r="M740" s="2">
        <v>0.2</v>
      </c>
      <c r="N740" s="2">
        <v>0</v>
      </c>
      <c r="O740" s="2">
        <v>0.2</v>
      </c>
      <c r="P740" s="8">
        <v>0.3</v>
      </c>
      <c r="Q740" s="12">
        <f t="shared" si="74"/>
        <v>-1.0108748801953611E-4</v>
      </c>
      <c r="R740" s="3">
        <f t="shared" si="75"/>
        <v>1.6188643433288409E-4</v>
      </c>
      <c r="S740" s="14">
        <f t="shared" si="76"/>
        <v>1.2723459998478561E-2</v>
      </c>
    </row>
    <row r="741" spans="12:19" x14ac:dyDescent="0.35">
      <c r="L741" s="2">
        <v>0.2</v>
      </c>
      <c r="M741" s="2">
        <v>0.3</v>
      </c>
      <c r="N741" s="2">
        <v>0</v>
      </c>
      <c r="O741" s="2">
        <v>0.2</v>
      </c>
      <c r="P741" s="8">
        <v>0.3</v>
      </c>
      <c r="Q741" s="12">
        <f t="shared" si="74"/>
        <v>-8.3129927011733364E-7</v>
      </c>
      <c r="R741" s="3">
        <f t="shared" si="75"/>
        <v>1.3107198589021985E-4</v>
      </c>
      <c r="S741" s="14">
        <f t="shared" si="76"/>
        <v>1.1448667428579619E-2</v>
      </c>
    </row>
    <row r="742" spans="12:19" x14ac:dyDescent="0.35">
      <c r="L742" s="2">
        <v>0.1</v>
      </c>
      <c r="M742" s="2">
        <v>0.4</v>
      </c>
      <c r="N742" s="2">
        <v>0</v>
      </c>
      <c r="O742" s="2">
        <v>0.2</v>
      </c>
      <c r="P742" s="8">
        <v>0.3</v>
      </c>
      <c r="Q742" s="12">
        <f t="shared" si="74"/>
        <v>9.9424889479301495E-5</v>
      </c>
      <c r="R742" s="3">
        <f t="shared" si="75"/>
        <v>1.248255175286861E-4</v>
      </c>
      <c r="S742" s="14">
        <f t="shared" si="76"/>
        <v>1.1172534069256003E-2</v>
      </c>
    </row>
    <row r="743" spans="12:19" x14ac:dyDescent="0.35">
      <c r="L743" s="2">
        <v>0</v>
      </c>
      <c r="M743" s="2">
        <v>0.5</v>
      </c>
      <c r="N743" s="2">
        <v>0</v>
      </c>
      <c r="O743" s="2">
        <v>0.2</v>
      </c>
      <c r="P743" s="8">
        <v>0.3</v>
      </c>
      <c r="Q743" s="12">
        <f t="shared" si="74"/>
        <v>1.996810782287203E-4</v>
      </c>
      <c r="R743" s="3">
        <f t="shared" si="75"/>
        <v>1.4314702924828279E-4</v>
      </c>
      <c r="S743" s="14">
        <f t="shared" si="76"/>
        <v>1.1964406765413937E-2</v>
      </c>
    </row>
    <row r="744" spans="12:19" x14ac:dyDescent="0.35">
      <c r="L744" s="2">
        <v>0.4</v>
      </c>
      <c r="M744" s="2">
        <v>0</v>
      </c>
      <c r="N744" s="2">
        <v>0.1</v>
      </c>
      <c r="O744" s="2">
        <v>0.2</v>
      </c>
      <c r="P744" s="8">
        <v>0.3</v>
      </c>
      <c r="Q744" s="12">
        <f t="shared" si="74"/>
        <v>-1.5684994358638533E-4</v>
      </c>
      <c r="R744" s="3">
        <f t="shared" si="75"/>
        <v>2.1136583017764761E-4</v>
      </c>
      <c r="S744" s="14">
        <f t="shared" si="76"/>
        <v>1.4538425986937087E-2</v>
      </c>
    </row>
    <row r="745" spans="12:19" x14ac:dyDescent="0.35">
      <c r="L745" s="2">
        <v>0.3</v>
      </c>
      <c r="M745" s="2">
        <v>0.1</v>
      </c>
      <c r="N745" s="2">
        <v>0.1</v>
      </c>
      <c r="O745" s="2">
        <v>0.2</v>
      </c>
      <c r="P745" s="8">
        <v>0.3</v>
      </c>
      <c r="Q745" s="12">
        <f t="shared" si="74"/>
        <v>-5.6593754836966443E-5</v>
      </c>
      <c r="R745" s="3">
        <f t="shared" si="75"/>
        <v>1.5168970969666194E-4</v>
      </c>
      <c r="S745" s="14">
        <f t="shared" si="76"/>
        <v>1.23162376437231E-2</v>
      </c>
    </row>
    <row r="746" spans="12:19" x14ac:dyDescent="0.35">
      <c r="L746" s="2">
        <v>0.2</v>
      </c>
      <c r="M746" s="2">
        <v>0.2</v>
      </c>
      <c r="N746" s="2">
        <v>0.1</v>
      </c>
      <c r="O746" s="2">
        <v>0.2</v>
      </c>
      <c r="P746" s="8">
        <v>0.3</v>
      </c>
      <c r="Q746" s="12">
        <f t="shared" si="74"/>
        <v>4.366243391245225E-5</v>
      </c>
      <c r="R746" s="3">
        <f t="shared" si="75"/>
        <v>1.1658156929680684E-4</v>
      </c>
      <c r="S746" s="14">
        <f t="shared" si="76"/>
        <v>1.0797294535984783E-2</v>
      </c>
    </row>
    <row r="747" spans="12:19" x14ac:dyDescent="0.35">
      <c r="L747" s="2">
        <v>0.1</v>
      </c>
      <c r="M747" s="2">
        <v>0.3</v>
      </c>
      <c r="N747" s="2">
        <v>0.1</v>
      </c>
      <c r="O747" s="2">
        <v>0.2</v>
      </c>
      <c r="P747" s="8">
        <v>0.3</v>
      </c>
      <c r="Q747" s="12">
        <f t="shared" si="74"/>
        <v>1.4391862266187108E-4</v>
      </c>
      <c r="R747" s="3">
        <f t="shared" si="75"/>
        <v>1.0604140897808214E-4</v>
      </c>
      <c r="S747" s="14">
        <f t="shared" si="76"/>
        <v>1.0297640942375208E-2</v>
      </c>
    </row>
    <row r="748" spans="12:19" x14ac:dyDescent="0.35">
      <c r="L748" s="2">
        <v>0</v>
      </c>
      <c r="M748" s="2">
        <v>0.4</v>
      </c>
      <c r="N748" s="2">
        <v>0.1</v>
      </c>
      <c r="O748" s="2">
        <v>0.2</v>
      </c>
      <c r="P748" s="8">
        <v>0.3</v>
      </c>
      <c r="Q748" s="12">
        <f t="shared" si="74"/>
        <v>2.4417481141128993E-4</v>
      </c>
      <c r="R748" s="3">
        <f t="shared" si="75"/>
        <v>1.2006922874048802E-4</v>
      </c>
      <c r="S748" s="14">
        <f t="shared" si="76"/>
        <v>1.0957610539733926E-2</v>
      </c>
    </row>
    <row r="749" spans="12:19" x14ac:dyDescent="0.35">
      <c r="L749" s="2">
        <v>0.3</v>
      </c>
      <c r="M749" s="2">
        <v>0</v>
      </c>
      <c r="N749" s="2">
        <v>0.2</v>
      </c>
      <c r="O749" s="2">
        <v>0.2</v>
      </c>
      <c r="P749" s="8">
        <v>0.3</v>
      </c>
      <c r="Q749" s="12">
        <f t="shared" si="74"/>
        <v>-1.2100021654396886E-5</v>
      </c>
      <c r="R749" s="3">
        <f t="shared" si="75"/>
        <v>1.5569151903038059E-4</v>
      </c>
      <c r="S749" s="14">
        <f t="shared" si="76"/>
        <v>1.2477640763797482E-2</v>
      </c>
    </row>
    <row r="750" spans="12:19" x14ac:dyDescent="0.35">
      <c r="L750" s="2">
        <v>0.2</v>
      </c>
      <c r="M750" s="2">
        <v>0.1</v>
      </c>
      <c r="N750" s="2">
        <v>0.2</v>
      </c>
      <c r="O750" s="2">
        <v>0.2</v>
      </c>
      <c r="P750" s="8">
        <v>0.3</v>
      </c>
      <c r="Q750" s="12">
        <f t="shared" si="74"/>
        <v>8.8156167095021888E-5</v>
      </c>
      <c r="R750" s="3">
        <f t="shared" si="75"/>
        <v>1.1628968667333461E-4</v>
      </c>
      <c r="S750" s="14">
        <f t="shared" si="76"/>
        <v>1.078376959478153E-2</v>
      </c>
    </row>
    <row r="751" spans="12:19" x14ac:dyDescent="0.35">
      <c r="L751" s="2">
        <v>0.1</v>
      </c>
      <c r="M751" s="2">
        <v>0.2</v>
      </c>
      <c r="N751" s="2">
        <v>0.2</v>
      </c>
      <c r="O751" s="2">
        <v>0.2</v>
      </c>
      <c r="P751" s="8">
        <v>0.3</v>
      </c>
      <c r="Q751" s="12">
        <f t="shared" si="74"/>
        <v>1.8841235584444072E-4</v>
      </c>
      <c r="R751" s="3">
        <f t="shared" si="75"/>
        <v>1.0145583439741905E-4</v>
      </c>
      <c r="S751" s="14">
        <f t="shared" si="76"/>
        <v>1.0072528699260135E-2</v>
      </c>
    </row>
    <row r="752" spans="12:19" x14ac:dyDescent="0.35">
      <c r="L752" s="2">
        <v>0</v>
      </c>
      <c r="M752" s="2">
        <v>0.3</v>
      </c>
      <c r="N752" s="2">
        <v>0.2</v>
      </c>
      <c r="O752" s="2">
        <v>0.2</v>
      </c>
      <c r="P752" s="8">
        <v>0.3</v>
      </c>
      <c r="Q752" s="12">
        <f t="shared" si="74"/>
        <v>2.8866854459385955E-4</v>
      </c>
      <c r="R752" s="3">
        <f t="shared" si="75"/>
        <v>1.1118996220263398E-4</v>
      </c>
      <c r="S752" s="14">
        <f t="shared" si="76"/>
        <v>1.0544665106234242E-2</v>
      </c>
    </row>
    <row r="753" spans="12:19" x14ac:dyDescent="0.35">
      <c r="L753" s="2">
        <v>0.2</v>
      </c>
      <c r="M753" s="2">
        <v>0</v>
      </c>
      <c r="N753" s="2">
        <v>0.3</v>
      </c>
      <c r="O753" s="2">
        <v>0.2</v>
      </c>
      <c r="P753" s="8">
        <v>0.3</v>
      </c>
      <c r="Q753" s="12">
        <f t="shared" si="74"/>
        <v>1.326499002775915E-4</v>
      </c>
      <c r="R753" s="3">
        <f t="shared" si="75"/>
        <v>1.3019633801980319E-4</v>
      </c>
      <c r="S753" s="14">
        <f t="shared" si="76"/>
        <v>1.1410360994280732E-2</v>
      </c>
    </row>
    <row r="754" spans="12:19" x14ac:dyDescent="0.35">
      <c r="L754" s="2">
        <v>0.1</v>
      </c>
      <c r="M754" s="2">
        <v>0.1</v>
      </c>
      <c r="N754" s="2">
        <v>0.3</v>
      </c>
      <c r="O754" s="2">
        <v>0.2</v>
      </c>
      <c r="P754" s="8">
        <v>0.3</v>
      </c>
      <c r="Q754" s="12">
        <f t="shared" si="74"/>
        <v>2.329060890270103E-4</v>
      </c>
      <c r="R754" s="3">
        <f t="shared" si="75"/>
        <v>1.1106879378669675E-4</v>
      </c>
      <c r="S754" s="14">
        <f t="shared" si="76"/>
        <v>1.0538918055791911E-2</v>
      </c>
    </row>
    <row r="755" spans="12:19" x14ac:dyDescent="0.35">
      <c r="L755" s="2">
        <v>0</v>
      </c>
      <c r="M755" s="2">
        <v>0.2</v>
      </c>
      <c r="N755" s="2">
        <v>0.3</v>
      </c>
      <c r="O755" s="2">
        <v>0.2</v>
      </c>
      <c r="P755" s="8">
        <v>0.3</v>
      </c>
      <c r="Q755" s="12">
        <f t="shared" si="74"/>
        <v>3.3316227777642916E-4</v>
      </c>
      <c r="R755" s="3">
        <f t="shared" si="75"/>
        <v>1.1650922963472082E-4</v>
      </c>
      <c r="S755" s="14">
        <f t="shared" si="76"/>
        <v>1.0793944118565782E-2</v>
      </c>
    </row>
    <row r="756" spans="12:19" x14ac:dyDescent="0.35">
      <c r="L756" s="2">
        <v>0.1</v>
      </c>
      <c r="M756" s="2">
        <v>0</v>
      </c>
      <c r="N756" s="2">
        <v>0.4</v>
      </c>
      <c r="O756" s="2">
        <v>0.2</v>
      </c>
      <c r="P756" s="8">
        <v>0.3</v>
      </c>
      <c r="Q756" s="12">
        <f t="shared" si="74"/>
        <v>2.7739982220957994E-4</v>
      </c>
      <c r="R756" s="3">
        <f t="shared" si="75"/>
        <v>1.3488028714591529E-4</v>
      </c>
      <c r="S756" s="14">
        <f t="shared" si="76"/>
        <v>1.1613797275048127E-2</v>
      </c>
    </row>
    <row r="757" spans="12:19" x14ac:dyDescent="0.35">
      <c r="L757" s="2">
        <v>0</v>
      </c>
      <c r="M757" s="2">
        <v>0.1</v>
      </c>
      <c r="N757" s="2">
        <v>0.4</v>
      </c>
      <c r="O757" s="2">
        <v>0.2</v>
      </c>
      <c r="P757" s="8">
        <v>0.3</v>
      </c>
      <c r="Q757" s="12">
        <f t="shared" si="74"/>
        <v>3.7765601095899877E-4</v>
      </c>
      <c r="R757" s="3">
        <f t="shared" si="75"/>
        <v>1.3602703103674849E-4</v>
      </c>
      <c r="S757" s="14">
        <f t="shared" si="76"/>
        <v>1.1663062678248303E-2</v>
      </c>
    </row>
    <row r="758" spans="12:19" x14ac:dyDescent="0.35">
      <c r="L758" s="2">
        <v>0</v>
      </c>
      <c r="M758" s="2">
        <v>0</v>
      </c>
      <c r="N758" s="2">
        <v>0.5</v>
      </c>
      <c r="O758" s="2">
        <v>0.2</v>
      </c>
      <c r="P758" s="8">
        <v>0.3</v>
      </c>
      <c r="Q758" s="12">
        <f t="shared" si="74"/>
        <v>4.2214974414156838E-4</v>
      </c>
      <c r="R758" s="3">
        <f t="shared" si="75"/>
        <v>1.6974336640871693E-4</v>
      </c>
      <c r="S758" s="14">
        <f t="shared" si="76"/>
        <v>1.3028559644439478E-2</v>
      </c>
    </row>
    <row r="759" spans="12:19" x14ac:dyDescent="0.35">
      <c r="L759" s="2">
        <v>0.4</v>
      </c>
      <c r="M759" s="2">
        <v>0</v>
      </c>
      <c r="N759" s="2">
        <v>0</v>
      </c>
      <c r="O759" s="2">
        <v>0.3</v>
      </c>
      <c r="P759" s="8">
        <v>0.3</v>
      </c>
      <c r="Q759" s="12">
        <f t="shared" si="74"/>
        <v>-1.5904807165444259E-4</v>
      </c>
      <c r="R759" s="3">
        <f t="shared" si="75"/>
        <v>2.178125419187991E-4</v>
      </c>
      <c r="S759" s="14">
        <f t="shared" si="76"/>
        <v>1.4758473563305898E-2</v>
      </c>
    </row>
    <row r="760" spans="12:19" x14ac:dyDescent="0.35">
      <c r="L760" s="2">
        <v>0.3</v>
      </c>
      <c r="M760" s="2">
        <v>0.1</v>
      </c>
      <c r="N760" s="2">
        <v>0</v>
      </c>
      <c r="O760" s="2">
        <v>0.3</v>
      </c>
      <c r="P760" s="8">
        <v>0.3</v>
      </c>
      <c r="Q760" s="12">
        <f t="shared" si="74"/>
        <v>-5.8791882905023709E-5</v>
      </c>
      <c r="R760" s="3">
        <f t="shared" si="75"/>
        <v>1.5679792733136648E-4</v>
      </c>
      <c r="S760" s="14">
        <f t="shared" si="76"/>
        <v>1.2521897912511765E-2</v>
      </c>
    </row>
    <row r="761" spans="12:19" x14ac:dyDescent="0.35">
      <c r="L761" s="2">
        <v>0.2</v>
      </c>
      <c r="M761" s="2">
        <v>0.2</v>
      </c>
      <c r="N761" s="2">
        <v>0</v>
      </c>
      <c r="O761" s="2">
        <v>0.3</v>
      </c>
      <c r="P761" s="8">
        <v>0.3</v>
      </c>
      <c r="Q761" s="12">
        <f t="shared" si="74"/>
        <v>4.1464305844395011E-5</v>
      </c>
      <c r="R761" s="3">
        <f t="shared" si="75"/>
        <v>1.2035129282506442E-4</v>
      </c>
      <c r="S761" s="14">
        <f t="shared" si="76"/>
        <v>1.0970473682802599E-2</v>
      </c>
    </row>
    <row r="762" spans="12:19" x14ac:dyDescent="0.35">
      <c r="L762" s="2">
        <v>0.1</v>
      </c>
      <c r="M762" s="2">
        <v>0.3</v>
      </c>
      <c r="N762" s="2">
        <v>0</v>
      </c>
      <c r="O762" s="2">
        <v>0.3</v>
      </c>
      <c r="P762" s="8">
        <v>0.3</v>
      </c>
      <c r="Q762" s="12">
        <f t="shared" si="74"/>
        <v>1.4172049459381384E-4</v>
      </c>
      <c r="R762" s="3">
        <f t="shared" si="75"/>
        <v>1.0847263839989282E-4</v>
      </c>
      <c r="S762" s="14">
        <f t="shared" si="76"/>
        <v>1.0415019846351365E-2</v>
      </c>
    </row>
    <row r="763" spans="12:19" x14ac:dyDescent="0.35">
      <c r="L763" s="2">
        <v>0</v>
      </c>
      <c r="M763" s="2">
        <v>0.4</v>
      </c>
      <c r="N763" s="2">
        <v>0</v>
      </c>
      <c r="O763" s="2">
        <v>0.3</v>
      </c>
      <c r="P763" s="8">
        <v>0.3</v>
      </c>
      <c r="Q763" s="12">
        <f t="shared" si="74"/>
        <v>2.4197668334323267E-4</v>
      </c>
      <c r="R763" s="3">
        <f t="shared" si="75"/>
        <v>1.2116196405585172E-4</v>
      </c>
      <c r="S763" s="14">
        <f t="shared" si="76"/>
        <v>1.1007359540591545E-2</v>
      </c>
    </row>
    <row r="764" spans="12:19" x14ac:dyDescent="0.35">
      <c r="L764" s="2">
        <v>0.3</v>
      </c>
      <c r="M764" s="2">
        <v>0</v>
      </c>
      <c r="N764" s="2">
        <v>0.1</v>
      </c>
      <c r="O764" s="2">
        <v>0.3</v>
      </c>
      <c r="P764" s="8">
        <v>0.3</v>
      </c>
      <c r="Q764" s="12">
        <f t="shared" si="74"/>
        <v>-1.4298149722454098E-5</v>
      </c>
      <c r="R764" s="3">
        <f t="shared" si="75"/>
        <v>1.5308269727944132E-4</v>
      </c>
      <c r="S764" s="14">
        <f t="shared" si="76"/>
        <v>1.2372659264662602E-2</v>
      </c>
    </row>
    <row r="765" spans="12:19" x14ac:dyDescent="0.35">
      <c r="L765" s="2">
        <v>0.2</v>
      </c>
      <c r="M765" s="2">
        <v>0.1</v>
      </c>
      <c r="N765" s="2">
        <v>0.1</v>
      </c>
      <c r="O765" s="2">
        <v>0.3</v>
      </c>
      <c r="P765" s="8">
        <v>0.3</v>
      </c>
      <c r="Q765" s="12">
        <f t="shared" si="74"/>
        <v>8.5958039026964677E-5</v>
      </c>
      <c r="R765" s="3">
        <f t="shared" si="75"/>
        <v>1.1234237081594837E-4</v>
      </c>
      <c r="S765" s="14">
        <f t="shared" si="76"/>
        <v>1.0599168402094024E-2</v>
      </c>
    </row>
    <row r="766" spans="12:19" x14ac:dyDescent="0.35">
      <c r="L766" s="2">
        <v>0.1</v>
      </c>
      <c r="M766" s="2">
        <v>0.2</v>
      </c>
      <c r="N766" s="2">
        <v>0.1</v>
      </c>
      <c r="O766" s="2">
        <v>0.3</v>
      </c>
      <c r="P766" s="8">
        <v>0.3</v>
      </c>
      <c r="Q766" s="12">
        <f t="shared" si="74"/>
        <v>1.8621422777638351E-4</v>
      </c>
      <c r="R766" s="3">
        <f t="shared" si="75"/>
        <v>9.6170024433585874E-5</v>
      </c>
      <c r="S766" s="14">
        <f t="shared" si="76"/>
        <v>9.8066316558533938E-3</v>
      </c>
    </row>
    <row r="767" spans="12:19" x14ac:dyDescent="0.35">
      <c r="L767" s="2">
        <v>0</v>
      </c>
      <c r="M767" s="2">
        <v>0.3</v>
      </c>
      <c r="N767" s="2">
        <v>0.1</v>
      </c>
      <c r="O767" s="2">
        <v>0.3</v>
      </c>
      <c r="P767" s="8">
        <v>0.3</v>
      </c>
      <c r="Q767" s="12">
        <f t="shared" si="74"/>
        <v>2.8647041652580228E-4</v>
      </c>
      <c r="R767" s="3">
        <f t="shared" si="75"/>
        <v>1.0456565813235386E-4</v>
      </c>
      <c r="S767" s="14">
        <f t="shared" si="76"/>
        <v>1.0225735090073176E-2</v>
      </c>
    </row>
    <row r="768" spans="12:19" x14ac:dyDescent="0.35">
      <c r="L768" s="2">
        <v>0.2</v>
      </c>
      <c r="M768" s="2">
        <v>0</v>
      </c>
      <c r="N768" s="2">
        <v>0.2</v>
      </c>
      <c r="O768" s="2">
        <v>0.3</v>
      </c>
      <c r="P768" s="8">
        <v>0.3</v>
      </c>
      <c r="Q768" s="12">
        <f t="shared" si="74"/>
        <v>1.3045177220953429E-4</v>
      </c>
      <c r="R768" s="3">
        <f t="shared" si="75"/>
        <v>1.1853198277677312E-4</v>
      </c>
      <c r="S768" s="14">
        <f t="shared" si="76"/>
        <v>1.0887239447021137E-2</v>
      </c>
    </row>
    <row r="769" spans="12:19" x14ac:dyDescent="0.35">
      <c r="L769" s="2">
        <v>0.1</v>
      </c>
      <c r="M769" s="2">
        <v>0.1</v>
      </c>
      <c r="N769" s="2">
        <v>0.2</v>
      </c>
      <c r="O769" s="2">
        <v>0.3</v>
      </c>
      <c r="P769" s="8">
        <v>0.3</v>
      </c>
      <c r="Q769" s="12">
        <f t="shared" si="74"/>
        <v>2.3070796095895309E-4</v>
      </c>
      <c r="R769" s="3">
        <f t="shared" si="75"/>
        <v>9.8065944437219745E-5</v>
      </c>
      <c r="S769" s="14">
        <f t="shared" si="76"/>
        <v>9.9028250735444055E-3</v>
      </c>
    </row>
    <row r="770" spans="12:19" x14ac:dyDescent="0.35">
      <c r="L770" s="2">
        <v>0</v>
      </c>
      <c r="M770" s="2">
        <v>0.2</v>
      </c>
      <c r="N770" s="2">
        <v>0.2</v>
      </c>
      <c r="O770" s="2">
        <v>0.3</v>
      </c>
      <c r="P770" s="8">
        <v>0.3</v>
      </c>
      <c r="Q770" s="12">
        <f t="shared" si="74"/>
        <v>3.3096414970837189E-4</v>
      </c>
      <c r="R770" s="3">
        <f t="shared" si="75"/>
        <v>1.0216788617879686E-4</v>
      </c>
      <c r="S770" s="14">
        <f t="shared" si="76"/>
        <v>1.0107813125438996E-2</v>
      </c>
    </row>
    <row r="771" spans="12:19" x14ac:dyDescent="0.35">
      <c r="L771" s="2">
        <v>0.1</v>
      </c>
      <c r="M771" s="2">
        <v>0</v>
      </c>
      <c r="N771" s="2">
        <v>0.3</v>
      </c>
      <c r="O771" s="2">
        <v>0.3</v>
      </c>
      <c r="P771" s="8">
        <v>0.3</v>
      </c>
      <c r="Q771" s="12">
        <f t="shared" ref="Q771:Q834" si="77">SUMPRODUCT($U$5:$Y$5,L771:P771)</f>
        <v>2.7520169414152273E-4</v>
      </c>
      <c r="R771" s="3">
        <f t="shared" ref="R771:R834" si="78">POWER(L771,2)*$V$9+POWER(M771,2)*$W$10+POWER(N771,2)*$X$11+POWER(O771,2)*$Y$12+POWER(P771,2)*$Z$13+2*(L771*M771*$V$10+N771*O771*$X$12+N771*P771*$X$13+$O$3*P771*$Y$13+L771*N771*$V$11+L771*O771*$V$12+L771*P771*$V$13+M771*N771*$W$11+M771*O771*$W$12+M771*P771*$W$13)</f>
        <v>1.141603984107944E-4</v>
      </c>
      <c r="S771" s="14">
        <f t="shared" si="76"/>
        <v>1.0684586955553986E-2</v>
      </c>
    </row>
    <row r="772" spans="12:19" x14ac:dyDescent="0.35">
      <c r="L772" s="2">
        <v>0</v>
      </c>
      <c r="M772" s="2">
        <v>0.1</v>
      </c>
      <c r="N772" s="2">
        <v>0.3</v>
      </c>
      <c r="O772" s="2">
        <v>0.3</v>
      </c>
      <c r="P772" s="8">
        <v>0.3</v>
      </c>
      <c r="Q772" s="12">
        <f t="shared" si="77"/>
        <v>3.754578828909415E-4</v>
      </c>
      <c r="R772" s="3">
        <f t="shared" si="78"/>
        <v>1.1396864819518065E-4</v>
      </c>
      <c r="S772" s="14">
        <f t="shared" ref="S772:S835" si="79">SQRT(R772)</f>
        <v>1.0675609968295988E-2</v>
      </c>
    </row>
    <row r="773" spans="12:19" x14ac:dyDescent="0.35">
      <c r="L773" s="2">
        <v>0</v>
      </c>
      <c r="M773" s="2">
        <v>0</v>
      </c>
      <c r="N773" s="2">
        <v>0.4</v>
      </c>
      <c r="O773" s="2">
        <v>0.3</v>
      </c>
      <c r="P773" s="8">
        <v>0.3</v>
      </c>
      <c r="Q773" s="12">
        <f t="shared" si="77"/>
        <v>4.1995161607351117E-4</v>
      </c>
      <c r="R773" s="3">
        <f t="shared" si="78"/>
        <v>1.3996794418150529E-4</v>
      </c>
      <c r="S773" s="14">
        <f t="shared" si="79"/>
        <v>1.183080488307982E-2</v>
      </c>
    </row>
    <row r="774" spans="12:19" x14ac:dyDescent="0.35">
      <c r="L774" s="2">
        <v>0.3</v>
      </c>
      <c r="M774" s="2">
        <v>0</v>
      </c>
      <c r="N774" s="2">
        <v>0</v>
      </c>
      <c r="O774" s="2">
        <v>0.4</v>
      </c>
      <c r="P774" s="8">
        <v>0.3</v>
      </c>
      <c r="Q774" s="12">
        <f t="shared" si="77"/>
        <v>-1.649627779051131E-5</v>
      </c>
      <c r="R774" s="3">
        <f t="shared" si="78"/>
        <v>1.6218375984014723E-4</v>
      </c>
      <c r="S774" s="14">
        <f t="shared" si="79"/>
        <v>1.2735138783701857E-2</v>
      </c>
    </row>
    <row r="775" spans="12:19" x14ac:dyDescent="0.35">
      <c r="L775" s="2">
        <v>0.2</v>
      </c>
      <c r="M775" s="2">
        <v>0.1</v>
      </c>
      <c r="N775" s="2">
        <v>0</v>
      </c>
      <c r="O775" s="2">
        <v>0.4</v>
      </c>
      <c r="P775" s="8">
        <v>0.3</v>
      </c>
      <c r="Q775" s="12">
        <f t="shared" si="77"/>
        <v>8.3759910958907465E-5</v>
      </c>
      <c r="R775" s="3">
        <f t="shared" si="78"/>
        <v>1.2010493927020732E-4</v>
      </c>
      <c r="S775" s="14">
        <f t="shared" si="79"/>
        <v>1.0959239903853156E-2</v>
      </c>
    </row>
    <row r="776" spans="12:19" x14ac:dyDescent="0.35">
      <c r="L776" s="2">
        <v>0.1</v>
      </c>
      <c r="M776" s="2">
        <v>0.2</v>
      </c>
      <c r="N776" s="2">
        <v>0</v>
      </c>
      <c r="O776" s="2">
        <v>0.4</v>
      </c>
      <c r="P776" s="8">
        <v>0.3</v>
      </c>
      <c r="Q776" s="12">
        <f t="shared" si="77"/>
        <v>1.8401609970832629E-4</v>
      </c>
      <c r="R776" s="3">
        <f t="shared" si="78"/>
        <v>1.0259409878139791E-4</v>
      </c>
      <c r="S776" s="14">
        <f t="shared" si="79"/>
        <v>1.0128874507140362E-2</v>
      </c>
    </row>
    <row r="777" spans="12:19" x14ac:dyDescent="0.35">
      <c r="L777" s="2">
        <v>0</v>
      </c>
      <c r="M777" s="2">
        <v>0.3</v>
      </c>
      <c r="N777" s="2">
        <v>0</v>
      </c>
      <c r="O777" s="2">
        <v>0.4</v>
      </c>
      <c r="P777" s="8">
        <v>0.3</v>
      </c>
      <c r="Q777" s="12">
        <f t="shared" si="77"/>
        <v>2.8427228845774507E-4</v>
      </c>
      <c r="R777" s="3">
        <f t="shared" si="78"/>
        <v>1.0965123837371895E-4</v>
      </c>
      <c r="S777" s="14">
        <f t="shared" si="79"/>
        <v>1.0471448723730587E-2</v>
      </c>
    </row>
    <row r="778" spans="12:19" x14ac:dyDescent="0.35">
      <c r="L778" s="2">
        <v>0.2</v>
      </c>
      <c r="M778" s="2">
        <v>0</v>
      </c>
      <c r="N778" s="2">
        <v>0.1</v>
      </c>
      <c r="O778" s="2">
        <v>0.4</v>
      </c>
      <c r="P778" s="8">
        <v>0.3</v>
      </c>
      <c r="Q778" s="12">
        <f t="shared" si="77"/>
        <v>1.2825364414147708E-4</v>
      </c>
      <c r="R778" s="3">
        <f t="shared" si="78"/>
        <v>1.1857751184538823E-4</v>
      </c>
      <c r="S778" s="14">
        <f t="shared" si="79"/>
        <v>1.088933018350478E-2</v>
      </c>
    </row>
    <row r="779" spans="12:19" x14ac:dyDescent="0.35">
      <c r="L779" s="2">
        <v>0.1</v>
      </c>
      <c r="M779" s="2">
        <v>0.1</v>
      </c>
      <c r="N779" s="2">
        <v>0.1</v>
      </c>
      <c r="O779" s="2">
        <v>0.4</v>
      </c>
      <c r="P779" s="8">
        <v>0.3</v>
      </c>
      <c r="Q779" s="12">
        <f t="shared" si="77"/>
        <v>2.2850983289089585E-4</v>
      </c>
      <c r="R779" s="3">
        <f t="shared" si="78"/>
        <v>9.6772979399387913E-5</v>
      </c>
      <c r="S779" s="14">
        <f t="shared" si="79"/>
        <v>9.8373258256188659E-3</v>
      </c>
    </row>
    <row r="780" spans="12:19" x14ac:dyDescent="0.35">
      <c r="L780" s="2">
        <v>0</v>
      </c>
      <c r="M780" s="2">
        <v>0.2</v>
      </c>
      <c r="N780" s="2">
        <v>0.1</v>
      </c>
      <c r="O780" s="2">
        <v>0.4</v>
      </c>
      <c r="P780" s="8">
        <v>0.3</v>
      </c>
      <c r="Q780" s="12">
        <f t="shared" si="77"/>
        <v>3.2876602164031473E-4</v>
      </c>
      <c r="R780" s="3">
        <f t="shared" si="78"/>
        <v>9.9536427034518102E-5</v>
      </c>
      <c r="S780" s="14">
        <f t="shared" si="79"/>
        <v>9.9767944267945153E-3</v>
      </c>
    </row>
    <row r="781" spans="12:19" x14ac:dyDescent="0.35">
      <c r="L781" s="2">
        <v>0.1</v>
      </c>
      <c r="M781" s="2">
        <v>0</v>
      </c>
      <c r="N781" s="2">
        <v>0.2</v>
      </c>
      <c r="O781" s="2">
        <v>0.4</v>
      </c>
      <c r="P781" s="8">
        <v>0.3</v>
      </c>
      <c r="Q781" s="12">
        <f t="shared" si="77"/>
        <v>2.7300356607346552E-4</v>
      </c>
      <c r="R781" s="3">
        <f t="shared" si="78"/>
        <v>1.0515039398731877E-4</v>
      </c>
      <c r="S781" s="14">
        <f t="shared" si="79"/>
        <v>1.025428661523164E-2</v>
      </c>
    </row>
    <row r="782" spans="12:19" x14ac:dyDescent="0.35">
      <c r="L782" s="2">
        <v>0</v>
      </c>
      <c r="M782" s="2">
        <v>0.1</v>
      </c>
      <c r="N782" s="2">
        <v>0.2</v>
      </c>
      <c r="O782" s="2">
        <v>0.4</v>
      </c>
      <c r="P782" s="8">
        <v>0.3</v>
      </c>
      <c r="Q782" s="12">
        <f t="shared" si="77"/>
        <v>3.7325975482288434E-4</v>
      </c>
      <c r="R782" s="3">
        <f t="shared" si="78"/>
        <v>1.0362014966525807E-4</v>
      </c>
      <c r="S782" s="14">
        <f t="shared" si="79"/>
        <v>1.017939829583547E-2</v>
      </c>
    </row>
    <row r="783" spans="12:19" x14ac:dyDescent="0.35">
      <c r="L783" s="2">
        <v>0</v>
      </c>
      <c r="M783" s="2">
        <v>0</v>
      </c>
      <c r="N783" s="2">
        <v>0.3</v>
      </c>
      <c r="O783" s="2">
        <v>0.4</v>
      </c>
      <c r="P783" s="8">
        <v>0.3</v>
      </c>
      <c r="Q783" s="12">
        <f t="shared" si="77"/>
        <v>4.1775348800545396E-4</v>
      </c>
      <c r="R783" s="3">
        <f t="shared" si="78"/>
        <v>1.219024062659388E-4</v>
      </c>
      <c r="S783" s="14">
        <f t="shared" si="79"/>
        <v>1.1040942272557121E-2</v>
      </c>
    </row>
    <row r="784" spans="12:19" x14ac:dyDescent="0.35">
      <c r="L784" s="2">
        <v>0.2</v>
      </c>
      <c r="M784" s="2">
        <v>0</v>
      </c>
      <c r="N784" s="2">
        <v>0</v>
      </c>
      <c r="O784" s="2">
        <v>0.5</v>
      </c>
      <c r="P784" s="8">
        <v>0.3</v>
      </c>
      <c r="Q784" s="12">
        <f t="shared" si="77"/>
        <v>1.2605551607341984E-4</v>
      </c>
      <c r="R784" s="3">
        <f t="shared" si="78"/>
        <v>1.3033292522564858E-4</v>
      </c>
      <c r="S784" s="14">
        <f t="shared" si="79"/>
        <v>1.1416344652543063E-2</v>
      </c>
    </row>
    <row r="785" spans="12:19" x14ac:dyDescent="0.35">
      <c r="L785" s="2">
        <v>0.1</v>
      </c>
      <c r="M785" s="2">
        <v>0.1</v>
      </c>
      <c r="N785" s="2">
        <v>0</v>
      </c>
      <c r="O785" s="2">
        <v>0.5</v>
      </c>
      <c r="P785" s="8">
        <v>0.3</v>
      </c>
      <c r="Q785" s="12">
        <f t="shared" si="77"/>
        <v>2.2631170482283864E-4</v>
      </c>
      <c r="R785" s="3">
        <f t="shared" si="78"/>
        <v>1.071898986732013E-4</v>
      </c>
      <c r="S785" s="14">
        <f t="shared" si="79"/>
        <v>1.0353255462568347E-2</v>
      </c>
    </row>
    <row r="786" spans="12:19" x14ac:dyDescent="0.35">
      <c r="L786" s="2">
        <v>0</v>
      </c>
      <c r="M786" s="2">
        <v>0.2</v>
      </c>
      <c r="N786" s="2">
        <v>0</v>
      </c>
      <c r="O786" s="2">
        <v>0.5</v>
      </c>
      <c r="P786" s="8">
        <v>0.3</v>
      </c>
      <c r="Q786" s="12">
        <f t="shared" si="77"/>
        <v>3.2656789357225747E-4</v>
      </c>
      <c r="R786" s="3">
        <f t="shared" si="78"/>
        <v>1.0861485220188454E-4</v>
      </c>
      <c r="S786" s="14">
        <f t="shared" si="79"/>
        <v>1.042184495192116E-2</v>
      </c>
    </row>
    <row r="787" spans="12:19" x14ac:dyDescent="0.35">
      <c r="L787" s="2">
        <v>0.1</v>
      </c>
      <c r="M787" s="2">
        <v>0</v>
      </c>
      <c r="N787" s="2">
        <v>0.1</v>
      </c>
      <c r="O787" s="2">
        <v>0.5</v>
      </c>
      <c r="P787" s="8">
        <v>0.3</v>
      </c>
      <c r="Q787" s="12">
        <f t="shared" si="77"/>
        <v>2.7080543800540825E-4</v>
      </c>
      <c r="R787" s="3">
        <f t="shared" si="78"/>
        <v>1.0785027387548829E-4</v>
      </c>
      <c r="S787" s="14">
        <f t="shared" si="79"/>
        <v>1.0385098645438486E-2</v>
      </c>
    </row>
    <row r="788" spans="12:19" x14ac:dyDescent="0.35">
      <c r="L788" s="2">
        <v>0</v>
      </c>
      <c r="M788" s="2">
        <v>0.1</v>
      </c>
      <c r="N788" s="2">
        <v>0.1</v>
      </c>
      <c r="O788" s="2">
        <v>0.5</v>
      </c>
      <c r="P788" s="8">
        <v>0.3</v>
      </c>
      <c r="Q788" s="12">
        <f t="shared" si="77"/>
        <v>3.7106162675482708E-4</v>
      </c>
      <c r="R788" s="3">
        <f t="shared" si="78"/>
        <v>1.0498153544698062E-4</v>
      </c>
      <c r="S788" s="14">
        <f t="shared" si="79"/>
        <v>1.0246049748414294E-2</v>
      </c>
    </row>
    <row r="789" spans="12:19" x14ac:dyDescent="0.35">
      <c r="L789" s="2">
        <v>0</v>
      </c>
      <c r="M789" s="2">
        <v>0</v>
      </c>
      <c r="N789" s="2">
        <v>0.2</v>
      </c>
      <c r="O789" s="2">
        <v>0.5</v>
      </c>
      <c r="P789" s="8">
        <v>0.3</v>
      </c>
      <c r="Q789" s="12">
        <f t="shared" si="77"/>
        <v>4.1555535993739669E-4</v>
      </c>
      <c r="R789" s="3">
        <f t="shared" si="78"/>
        <v>1.1554675266201756E-4</v>
      </c>
      <c r="S789" s="14">
        <f t="shared" si="79"/>
        <v>1.0749267540721905E-2</v>
      </c>
    </row>
    <row r="790" spans="12:19" x14ac:dyDescent="0.35">
      <c r="L790" s="2">
        <v>0.1</v>
      </c>
      <c r="M790" s="2">
        <v>0</v>
      </c>
      <c r="N790" s="2">
        <v>0</v>
      </c>
      <c r="O790" s="2">
        <v>0.6</v>
      </c>
      <c r="P790" s="8">
        <v>0.3</v>
      </c>
      <c r="Q790" s="12">
        <f t="shared" si="77"/>
        <v>2.6860730993735104E-4</v>
      </c>
      <c r="R790" s="3">
        <f t="shared" si="78"/>
        <v>1.2226003807530301E-4</v>
      </c>
      <c r="S790" s="14">
        <f t="shared" si="79"/>
        <v>1.105712612188642E-2</v>
      </c>
    </row>
    <row r="791" spans="12:19" x14ac:dyDescent="0.35">
      <c r="L791" s="2">
        <v>0</v>
      </c>
      <c r="M791" s="2">
        <v>0.1</v>
      </c>
      <c r="N791" s="2">
        <v>0</v>
      </c>
      <c r="O791" s="2">
        <v>0.6</v>
      </c>
      <c r="P791" s="8">
        <v>0.3</v>
      </c>
      <c r="Q791" s="12">
        <f t="shared" si="77"/>
        <v>3.6886349868676987E-4</v>
      </c>
      <c r="R791" s="3">
        <f t="shared" si="78"/>
        <v>1.1805280554034843E-4</v>
      </c>
      <c r="S791" s="14">
        <f t="shared" si="79"/>
        <v>1.0865210791344474E-2</v>
      </c>
    </row>
    <row r="792" spans="12:19" x14ac:dyDescent="0.35">
      <c r="L792" s="2">
        <v>0</v>
      </c>
      <c r="M792" s="2">
        <v>0</v>
      </c>
      <c r="N792" s="2">
        <v>0.1</v>
      </c>
      <c r="O792" s="2">
        <v>0.6</v>
      </c>
      <c r="P792" s="8">
        <v>0.3</v>
      </c>
      <c r="Q792" s="12">
        <f t="shared" si="77"/>
        <v>4.1335723186933948E-4</v>
      </c>
      <c r="R792" s="3">
        <f t="shared" si="78"/>
        <v>1.209009833697415E-4</v>
      </c>
      <c r="S792" s="14">
        <f t="shared" si="79"/>
        <v>1.0995498322938415E-2</v>
      </c>
    </row>
    <row r="793" spans="12:19" x14ac:dyDescent="0.35">
      <c r="L793" s="2">
        <v>0</v>
      </c>
      <c r="M793" s="2">
        <v>0</v>
      </c>
      <c r="N793" s="2">
        <v>0</v>
      </c>
      <c r="O793" s="2">
        <v>0.7</v>
      </c>
      <c r="P793" s="8">
        <v>0.3</v>
      </c>
      <c r="Q793" s="12">
        <f t="shared" si="77"/>
        <v>4.1115910380128227E-4</v>
      </c>
      <c r="R793" s="3">
        <f t="shared" si="78"/>
        <v>1.3796509838911065E-4</v>
      </c>
      <c r="S793" s="14">
        <f t="shared" si="79"/>
        <v>1.174585451932343E-2</v>
      </c>
    </row>
    <row r="794" spans="12:19" x14ac:dyDescent="0.35">
      <c r="L794" s="2">
        <v>0.6</v>
      </c>
      <c r="M794" s="2">
        <v>0</v>
      </c>
      <c r="N794" s="2">
        <v>0</v>
      </c>
      <c r="O794" s="2">
        <v>0</v>
      </c>
      <c r="P794" s="8">
        <v>0.4</v>
      </c>
      <c r="Q794" s="12">
        <f t="shared" si="77"/>
        <v>-3.9631006354147989E-4</v>
      </c>
      <c r="R794" s="3">
        <f t="shared" si="78"/>
        <v>3.9417128588070823E-4</v>
      </c>
      <c r="S794" s="14">
        <f t="shared" si="79"/>
        <v>1.9853747401453164E-2</v>
      </c>
    </row>
    <row r="795" spans="12:19" x14ac:dyDescent="0.35">
      <c r="L795" s="2">
        <v>0.5</v>
      </c>
      <c r="M795" s="2">
        <v>0.1</v>
      </c>
      <c r="N795" s="2">
        <v>0</v>
      </c>
      <c r="O795" s="2">
        <v>0</v>
      </c>
      <c r="P795" s="8">
        <v>0.4</v>
      </c>
      <c r="Q795" s="12">
        <f t="shared" si="77"/>
        <v>-2.9605387479206117E-4</v>
      </c>
      <c r="R795" s="3">
        <f t="shared" si="78"/>
        <v>2.9582740640264409E-4</v>
      </c>
      <c r="S795" s="14">
        <f t="shared" si="79"/>
        <v>1.7199633903157478E-2</v>
      </c>
    </row>
    <row r="796" spans="12:19" x14ac:dyDescent="0.35">
      <c r="L796" s="2">
        <v>0.4</v>
      </c>
      <c r="M796" s="2">
        <v>0.2</v>
      </c>
      <c r="N796" s="2">
        <v>0</v>
      </c>
      <c r="O796" s="2">
        <v>0</v>
      </c>
      <c r="P796" s="8">
        <v>0.4</v>
      </c>
      <c r="Q796" s="12">
        <f t="shared" si="77"/>
        <v>-1.9579768604264234E-4</v>
      </c>
      <c r="R796" s="3">
        <f t="shared" si="78"/>
        <v>2.2205150700571036E-4</v>
      </c>
      <c r="S796" s="14">
        <f t="shared" si="79"/>
        <v>1.4901392787444748E-2</v>
      </c>
    </row>
    <row r="797" spans="12:19" x14ac:dyDescent="0.35">
      <c r="L797" s="2">
        <v>0.3</v>
      </c>
      <c r="M797" s="2">
        <v>0.3</v>
      </c>
      <c r="N797" s="2">
        <v>0</v>
      </c>
      <c r="O797" s="2">
        <v>0</v>
      </c>
      <c r="P797" s="8">
        <v>0.4</v>
      </c>
      <c r="Q797" s="12">
        <f t="shared" si="77"/>
        <v>-9.5541497293223513E-5</v>
      </c>
      <c r="R797" s="3">
        <f t="shared" si="78"/>
        <v>1.7284358768990707E-4</v>
      </c>
      <c r="S797" s="14">
        <f t="shared" si="79"/>
        <v>1.3146999189545388E-2</v>
      </c>
    </row>
    <row r="798" spans="12:19" x14ac:dyDescent="0.35">
      <c r="L798" s="2">
        <v>0.2</v>
      </c>
      <c r="M798" s="2">
        <v>0.4</v>
      </c>
      <c r="N798" s="2">
        <v>0</v>
      </c>
      <c r="O798" s="2">
        <v>0</v>
      </c>
      <c r="P798" s="8">
        <v>0.4</v>
      </c>
      <c r="Q798" s="12">
        <f t="shared" si="77"/>
        <v>4.7146914561953159E-6</v>
      </c>
      <c r="R798" s="3">
        <f t="shared" si="78"/>
        <v>1.4820364845523435E-4</v>
      </c>
      <c r="S798" s="14">
        <f t="shared" si="79"/>
        <v>1.2173892083275354E-2</v>
      </c>
    </row>
    <row r="799" spans="12:19" x14ac:dyDescent="0.35">
      <c r="L799" s="2">
        <v>0.1</v>
      </c>
      <c r="M799" s="2">
        <v>0.5</v>
      </c>
      <c r="N799" s="2">
        <v>0</v>
      </c>
      <c r="O799" s="2">
        <v>0</v>
      </c>
      <c r="P799" s="8">
        <v>0.4</v>
      </c>
      <c r="Q799" s="12">
        <f t="shared" si="77"/>
        <v>1.0497088020561409E-4</v>
      </c>
      <c r="R799" s="3">
        <f t="shared" si="78"/>
        <v>1.4813168930169205E-4</v>
      </c>
      <c r="S799" s="14">
        <f t="shared" si="79"/>
        <v>1.2170936254113406E-2</v>
      </c>
    </row>
    <row r="800" spans="12:19" x14ac:dyDescent="0.35">
      <c r="L800" s="2">
        <v>0</v>
      </c>
      <c r="M800" s="2">
        <v>0.6</v>
      </c>
      <c r="N800" s="2">
        <v>0</v>
      </c>
      <c r="O800" s="2">
        <v>0</v>
      </c>
      <c r="P800" s="8">
        <v>0.4</v>
      </c>
      <c r="Q800" s="12">
        <f t="shared" si="77"/>
        <v>2.0522706895503292E-4</v>
      </c>
      <c r="R800" s="3">
        <f t="shared" si="78"/>
        <v>1.7262771022928027E-4</v>
      </c>
      <c r="S800" s="14">
        <f t="shared" si="79"/>
        <v>1.313878648236892E-2</v>
      </c>
    </row>
    <row r="801" spans="12:19" x14ac:dyDescent="0.35">
      <c r="L801" s="2">
        <v>0.5</v>
      </c>
      <c r="M801" s="2">
        <v>0</v>
      </c>
      <c r="N801" s="2">
        <v>0.1</v>
      </c>
      <c r="O801" s="2">
        <v>0</v>
      </c>
      <c r="P801" s="8">
        <v>0.4</v>
      </c>
      <c r="Q801" s="12">
        <f t="shared" si="77"/>
        <v>-2.5156014160949156E-4</v>
      </c>
      <c r="R801" s="3">
        <f t="shared" si="78"/>
        <v>2.8743517277358662E-4</v>
      </c>
      <c r="S801" s="14">
        <f t="shared" si="79"/>
        <v>1.6953913199423506E-2</v>
      </c>
    </row>
    <row r="802" spans="12:19" x14ac:dyDescent="0.35">
      <c r="L802" s="2">
        <v>0.4</v>
      </c>
      <c r="M802" s="2">
        <v>0.1</v>
      </c>
      <c r="N802" s="2">
        <v>0.1</v>
      </c>
      <c r="O802" s="2">
        <v>0</v>
      </c>
      <c r="P802" s="8">
        <v>0.4</v>
      </c>
      <c r="Q802" s="12">
        <f t="shared" si="77"/>
        <v>-1.5130395286007268E-4</v>
      </c>
      <c r="R802" s="3">
        <f t="shared" si="78"/>
        <v>2.0936558141946201E-4</v>
      </c>
      <c r="S802" s="14">
        <f t="shared" si="79"/>
        <v>1.4469470668253971E-2</v>
      </c>
    </row>
    <row r="803" spans="12:19" x14ac:dyDescent="0.35">
      <c r="L803" s="2">
        <v>0.3</v>
      </c>
      <c r="M803" s="2">
        <v>0.2</v>
      </c>
      <c r="N803" s="2">
        <v>0.1</v>
      </c>
      <c r="O803" s="2">
        <v>0</v>
      </c>
      <c r="P803" s="8">
        <v>0.4</v>
      </c>
      <c r="Q803" s="12">
        <f t="shared" si="77"/>
        <v>-5.1047764110653847E-5</v>
      </c>
      <c r="R803" s="3">
        <f t="shared" si="78"/>
        <v>1.5586397014646789E-4</v>
      </c>
      <c r="S803" s="14">
        <f t="shared" si="79"/>
        <v>1.2484549256840147E-2</v>
      </c>
    </row>
    <row r="804" spans="12:19" x14ac:dyDescent="0.35">
      <c r="L804" s="2">
        <v>0.2</v>
      </c>
      <c r="M804" s="2">
        <v>0.3</v>
      </c>
      <c r="N804" s="2">
        <v>0.1</v>
      </c>
      <c r="O804" s="2">
        <v>0</v>
      </c>
      <c r="P804" s="8">
        <v>0.4</v>
      </c>
      <c r="Q804" s="12">
        <f t="shared" si="77"/>
        <v>4.9208424638764927E-5</v>
      </c>
      <c r="R804" s="3">
        <f t="shared" si="78"/>
        <v>1.2693033895460422E-4</v>
      </c>
      <c r="S804" s="14">
        <f t="shared" si="79"/>
        <v>1.1266336536541247E-2</v>
      </c>
    </row>
    <row r="805" spans="12:19" x14ac:dyDescent="0.35">
      <c r="L805" s="2">
        <v>0.1</v>
      </c>
      <c r="M805" s="2">
        <v>0.4</v>
      </c>
      <c r="N805" s="2">
        <v>0.1</v>
      </c>
      <c r="O805" s="2">
        <v>0</v>
      </c>
      <c r="P805" s="8">
        <v>0.4</v>
      </c>
      <c r="Q805" s="12">
        <f t="shared" si="77"/>
        <v>1.4946461338818373E-4</v>
      </c>
      <c r="R805" s="3">
        <f t="shared" si="78"/>
        <v>1.2256468784387108E-4</v>
      </c>
      <c r="S805" s="14">
        <f t="shared" si="79"/>
        <v>1.107089372380889E-2</v>
      </c>
    </row>
    <row r="806" spans="12:19" x14ac:dyDescent="0.35">
      <c r="L806" s="2">
        <v>0</v>
      </c>
      <c r="M806" s="2">
        <v>0.5</v>
      </c>
      <c r="N806" s="2">
        <v>0.1</v>
      </c>
      <c r="O806" s="2">
        <v>0</v>
      </c>
      <c r="P806" s="8">
        <v>0.4</v>
      </c>
      <c r="Q806" s="12">
        <f t="shared" si="77"/>
        <v>2.4972080213760253E-4</v>
      </c>
      <c r="R806" s="3">
        <f t="shared" si="78"/>
        <v>1.4276701681426843E-4</v>
      </c>
      <c r="S806" s="14">
        <f t="shared" si="79"/>
        <v>1.1948515255640276E-2</v>
      </c>
    </row>
    <row r="807" spans="12:19" x14ac:dyDescent="0.35">
      <c r="L807" s="2">
        <v>0.4</v>
      </c>
      <c r="M807" s="2">
        <v>0</v>
      </c>
      <c r="N807" s="2">
        <v>0.2</v>
      </c>
      <c r="O807" s="2">
        <v>0</v>
      </c>
      <c r="P807" s="8">
        <v>0.4</v>
      </c>
      <c r="Q807" s="12">
        <f t="shared" si="77"/>
        <v>-1.0681021967750312E-4</v>
      </c>
      <c r="R807" s="3">
        <f t="shared" si="78"/>
        <v>2.1087818980315451E-4</v>
      </c>
      <c r="S807" s="14">
        <f t="shared" si="79"/>
        <v>1.4521645561132336E-2</v>
      </c>
    </row>
    <row r="808" spans="12:19" x14ac:dyDescent="0.35">
      <c r="L808" s="2">
        <v>0.3</v>
      </c>
      <c r="M808" s="2">
        <v>0.1</v>
      </c>
      <c r="N808" s="2">
        <v>0.2</v>
      </c>
      <c r="O808" s="2">
        <v>0</v>
      </c>
      <c r="P808" s="8">
        <v>0.4</v>
      </c>
      <c r="Q808" s="12">
        <f t="shared" si="77"/>
        <v>-6.5540309280842364E-6</v>
      </c>
      <c r="R808" s="3">
        <f t="shared" si="78"/>
        <v>1.5308288657296949E-4</v>
      </c>
      <c r="S808" s="14">
        <f t="shared" si="79"/>
        <v>1.2372666914330536E-2</v>
      </c>
    </row>
    <row r="809" spans="12:19" x14ac:dyDescent="0.35">
      <c r="L809" s="2">
        <v>0.2</v>
      </c>
      <c r="M809" s="2">
        <v>0.2</v>
      </c>
      <c r="N809" s="2">
        <v>0.2</v>
      </c>
      <c r="O809" s="2">
        <v>0</v>
      </c>
      <c r="P809" s="8">
        <v>0.4</v>
      </c>
      <c r="Q809" s="12">
        <f t="shared" si="77"/>
        <v>9.3702157821334484E-5</v>
      </c>
      <c r="R809" s="3">
        <f t="shared" si="78"/>
        <v>1.1985556342391498E-4</v>
      </c>
      <c r="S809" s="14">
        <f t="shared" si="79"/>
        <v>1.0947856567562208E-2</v>
      </c>
    </row>
    <row r="810" spans="12:19" x14ac:dyDescent="0.35">
      <c r="L810" s="2">
        <v>0.1</v>
      </c>
      <c r="M810" s="2">
        <v>0.3</v>
      </c>
      <c r="N810" s="2">
        <v>0.2</v>
      </c>
      <c r="O810" s="2">
        <v>0</v>
      </c>
      <c r="P810" s="8">
        <v>0.4</v>
      </c>
      <c r="Q810" s="12">
        <f t="shared" si="77"/>
        <v>1.9395834657075331E-4</v>
      </c>
      <c r="R810" s="3">
        <f t="shared" si="78"/>
        <v>1.1119622035599092E-4</v>
      </c>
      <c r="S810" s="14">
        <f t="shared" si="79"/>
        <v>1.0544961847061891E-2</v>
      </c>
    </row>
    <row r="811" spans="12:19" x14ac:dyDescent="0.35">
      <c r="L811" s="2">
        <v>0</v>
      </c>
      <c r="M811" s="2">
        <v>0.4</v>
      </c>
      <c r="N811" s="2">
        <v>0.2</v>
      </c>
      <c r="O811" s="2">
        <v>0</v>
      </c>
      <c r="P811" s="8">
        <v>0.4</v>
      </c>
      <c r="Q811" s="12">
        <f t="shared" si="77"/>
        <v>2.9421453532017214E-4</v>
      </c>
      <c r="R811" s="3">
        <f t="shared" si="78"/>
        <v>1.271048573691974E-4</v>
      </c>
      <c r="S811" s="14">
        <f t="shared" si="79"/>
        <v>1.1274079003146883E-2</v>
      </c>
    </row>
    <row r="812" spans="12:19" x14ac:dyDescent="0.35">
      <c r="L812" s="2">
        <v>0.3</v>
      </c>
      <c r="M812" s="2">
        <v>0</v>
      </c>
      <c r="N812" s="2">
        <v>0.3</v>
      </c>
      <c r="O812" s="2">
        <v>0</v>
      </c>
      <c r="P812" s="8">
        <v>0.4</v>
      </c>
      <c r="Q812" s="12">
        <f t="shared" si="77"/>
        <v>3.7939702254485375E-5</v>
      </c>
      <c r="R812" s="3">
        <f t="shared" si="78"/>
        <v>1.6450033696941189E-4</v>
      </c>
      <c r="S812" s="14">
        <f t="shared" si="79"/>
        <v>1.2825768474809292E-2</v>
      </c>
    </row>
    <row r="813" spans="12:19" x14ac:dyDescent="0.35">
      <c r="L813" s="2">
        <v>0.2</v>
      </c>
      <c r="M813" s="2">
        <v>0.1</v>
      </c>
      <c r="N813" s="2">
        <v>0.3</v>
      </c>
      <c r="O813" s="2">
        <v>0</v>
      </c>
      <c r="P813" s="8">
        <v>0.4</v>
      </c>
      <c r="Q813" s="12">
        <f t="shared" si="77"/>
        <v>1.3819589100390415E-4</v>
      </c>
      <c r="R813" s="3">
        <f t="shared" si="78"/>
        <v>1.2697932186316651E-4</v>
      </c>
      <c r="S813" s="14">
        <f t="shared" si="79"/>
        <v>1.1268510188270964E-2</v>
      </c>
    </row>
    <row r="814" spans="12:19" x14ac:dyDescent="0.35">
      <c r="L814" s="2">
        <v>0.1</v>
      </c>
      <c r="M814" s="2">
        <v>0.2</v>
      </c>
      <c r="N814" s="2">
        <v>0.3</v>
      </c>
      <c r="O814" s="2">
        <v>0</v>
      </c>
      <c r="P814" s="8">
        <v>0.4</v>
      </c>
      <c r="Q814" s="12">
        <f t="shared" si="77"/>
        <v>2.3845207975332298E-4</v>
      </c>
      <c r="R814" s="3">
        <f t="shared" si="78"/>
        <v>1.1402628683805157E-4</v>
      </c>
      <c r="S814" s="14">
        <f t="shared" si="79"/>
        <v>1.0678309175054428E-2</v>
      </c>
    </row>
    <row r="815" spans="12:19" x14ac:dyDescent="0.35">
      <c r="L815" s="2">
        <v>0</v>
      </c>
      <c r="M815" s="2">
        <v>0.3</v>
      </c>
      <c r="N815" s="2">
        <v>0.3</v>
      </c>
      <c r="O815" s="2">
        <v>0</v>
      </c>
      <c r="P815" s="8">
        <v>0.4</v>
      </c>
      <c r="Q815" s="12">
        <f t="shared" si="77"/>
        <v>3.3870826850274175E-4</v>
      </c>
      <c r="R815" s="3">
        <f t="shared" si="78"/>
        <v>1.2564123189406711E-4</v>
      </c>
      <c r="S815" s="14">
        <f t="shared" si="79"/>
        <v>1.1208979966708259E-2</v>
      </c>
    </row>
    <row r="816" spans="12:19" x14ac:dyDescent="0.35">
      <c r="L816" s="2">
        <v>0.2</v>
      </c>
      <c r="M816" s="2">
        <v>0</v>
      </c>
      <c r="N816" s="2">
        <v>0.4</v>
      </c>
      <c r="O816" s="2">
        <v>0</v>
      </c>
      <c r="P816" s="8">
        <v>0.4</v>
      </c>
      <c r="Q816" s="12">
        <f t="shared" si="77"/>
        <v>1.8268962418647376E-4</v>
      </c>
      <c r="R816" s="3">
        <f t="shared" si="78"/>
        <v>1.4830161427235888E-4</v>
      </c>
      <c r="S816" s="14">
        <f t="shared" si="79"/>
        <v>1.217791502156091E-2</v>
      </c>
    </row>
    <row r="817" spans="12:19" x14ac:dyDescent="0.35">
      <c r="L817" s="2">
        <v>0.1</v>
      </c>
      <c r="M817" s="2">
        <v>0.1</v>
      </c>
      <c r="N817" s="2">
        <v>0.4</v>
      </c>
      <c r="O817" s="2">
        <v>0</v>
      </c>
      <c r="P817" s="8">
        <v>0.4</v>
      </c>
      <c r="Q817" s="12">
        <f t="shared" si="77"/>
        <v>2.8294581293589259E-4</v>
      </c>
      <c r="R817" s="3">
        <f t="shared" si="78"/>
        <v>1.3105488729005309E-4</v>
      </c>
      <c r="S817" s="14">
        <f t="shared" si="79"/>
        <v>1.1447920653553339E-2</v>
      </c>
    </row>
    <row r="818" spans="12:19" x14ac:dyDescent="0.35">
      <c r="L818" s="2">
        <v>0</v>
      </c>
      <c r="M818" s="2">
        <v>0.2</v>
      </c>
      <c r="N818" s="2">
        <v>0.4</v>
      </c>
      <c r="O818" s="2">
        <v>0</v>
      </c>
      <c r="P818" s="8">
        <v>0.4</v>
      </c>
      <c r="Q818" s="12">
        <f t="shared" si="77"/>
        <v>3.8320200168531142E-4</v>
      </c>
      <c r="R818" s="3">
        <f t="shared" si="78"/>
        <v>1.3837614038887777E-4</v>
      </c>
      <c r="S818" s="14">
        <f t="shared" si="79"/>
        <v>1.176333882827821E-2</v>
      </c>
    </row>
    <row r="819" spans="12:19" x14ac:dyDescent="0.35">
      <c r="L819" s="2">
        <v>0.1</v>
      </c>
      <c r="M819" s="2">
        <v>0</v>
      </c>
      <c r="N819" s="2">
        <v>0.5</v>
      </c>
      <c r="O819" s="2">
        <v>0</v>
      </c>
      <c r="P819" s="8">
        <v>0.4</v>
      </c>
      <c r="Q819" s="12">
        <f t="shared" si="77"/>
        <v>3.274395461184622E-4</v>
      </c>
      <c r="R819" s="3">
        <f t="shared" si="78"/>
        <v>1.6228202171199535E-4</v>
      </c>
      <c r="S819" s="14">
        <f t="shared" si="79"/>
        <v>1.2738996102990037E-2</v>
      </c>
    </row>
    <row r="820" spans="12:19" x14ac:dyDescent="0.35">
      <c r="L820" s="2">
        <v>0</v>
      </c>
      <c r="M820" s="2">
        <v>0.1</v>
      </c>
      <c r="N820" s="2">
        <v>0.5</v>
      </c>
      <c r="O820" s="2">
        <v>0</v>
      </c>
      <c r="P820" s="8">
        <v>0.4</v>
      </c>
      <c r="Q820" s="12">
        <f t="shared" si="77"/>
        <v>4.2769573486788103E-4</v>
      </c>
      <c r="R820" s="3">
        <f t="shared" si="78"/>
        <v>1.6530958285362912E-4</v>
      </c>
      <c r="S820" s="14">
        <f t="shared" si="79"/>
        <v>1.2857277427730535E-2</v>
      </c>
    </row>
    <row r="821" spans="12:19" x14ac:dyDescent="0.35">
      <c r="L821" s="2">
        <v>0</v>
      </c>
      <c r="M821" s="2">
        <v>0</v>
      </c>
      <c r="N821" s="2">
        <v>0.6</v>
      </c>
      <c r="O821" s="2">
        <v>0</v>
      </c>
      <c r="P821" s="8">
        <v>0.4</v>
      </c>
      <c r="Q821" s="12">
        <f t="shared" si="77"/>
        <v>4.7218946805045064E-4</v>
      </c>
      <c r="R821" s="3">
        <f t="shared" si="78"/>
        <v>2.0644155928832133E-4</v>
      </c>
      <c r="S821" s="14">
        <f t="shared" si="79"/>
        <v>1.4368074306890305E-2</v>
      </c>
    </row>
    <row r="822" spans="12:19" x14ac:dyDescent="0.35">
      <c r="L822" s="2">
        <v>0.5</v>
      </c>
      <c r="M822" s="2">
        <v>0</v>
      </c>
      <c r="N822" s="2">
        <v>0</v>
      </c>
      <c r="O822" s="2">
        <v>0.1</v>
      </c>
      <c r="P822" s="8">
        <v>0.4</v>
      </c>
      <c r="Q822" s="12">
        <f t="shared" si="77"/>
        <v>-2.5375826967754872E-4</v>
      </c>
      <c r="R822" s="3">
        <f t="shared" si="78"/>
        <v>2.8760898866260612E-4</v>
      </c>
      <c r="S822" s="14">
        <f t="shared" si="79"/>
        <v>1.6959038553603388E-2</v>
      </c>
    </row>
    <row r="823" spans="12:19" x14ac:dyDescent="0.35">
      <c r="L823" s="2">
        <v>0.4</v>
      </c>
      <c r="M823" s="2">
        <v>0.1</v>
      </c>
      <c r="N823" s="2">
        <v>0</v>
      </c>
      <c r="O823" s="2">
        <v>0.1</v>
      </c>
      <c r="P823" s="8">
        <v>0.4</v>
      </c>
      <c r="Q823" s="12">
        <f t="shared" si="77"/>
        <v>-1.5350208092812994E-4</v>
      </c>
      <c r="R823" s="3">
        <f t="shared" si="78"/>
        <v>2.0820090320203459E-4</v>
      </c>
      <c r="S823" s="14">
        <f t="shared" si="79"/>
        <v>1.4429168486161445E-2</v>
      </c>
    </row>
    <row r="824" spans="12:19" x14ac:dyDescent="0.35">
      <c r="L824" s="2">
        <v>0.3</v>
      </c>
      <c r="M824" s="2">
        <v>0.2</v>
      </c>
      <c r="N824" s="2">
        <v>0</v>
      </c>
      <c r="O824" s="2">
        <v>0.1</v>
      </c>
      <c r="P824" s="8">
        <v>0.4</v>
      </c>
      <c r="Q824" s="12">
        <f t="shared" si="77"/>
        <v>-5.3245892178711114E-5</v>
      </c>
      <c r="R824" s="3">
        <f t="shared" si="78"/>
        <v>1.5336079782259351E-4</v>
      </c>
      <c r="S824" s="14">
        <f t="shared" si="79"/>
        <v>1.2383892676480749E-2</v>
      </c>
    </row>
    <row r="825" spans="12:19" x14ac:dyDescent="0.35">
      <c r="L825" s="2">
        <v>0.2</v>
      </c>
      <c r="M825" s="2">
        <v>0.3</v>
      </c>
      <c r="N825" s="2">
        <v>0</v>
      </c>
      <c r="O825" s="2">
        <v>0.1</v>
      </c>
      <c r="P825" s="8">
        <v>0.4</v>
      </c>
      <c r="Q825" s="12">
        <f t="shared" si="77"/>
        <v>4.7010296570707661E-5</v>
      </c>
      <c r="R825" s="3">
        <f t="shared" si="78"/>
        <v>1.2308867252428291E-4</v>
      </c>
      <c r="S825" s="14">
        <f t="shared" si="79"/>
        <v>1.1094533452303568E-2</v>
      </c>
    </row>
    <row r="826" spans="12:19" x14ac:dyDescent="0.35">
      <c r="L826" s="2">
        <v>0.1</v>
      </c>
      <c r="M826" s="2">
        <v>0.4</v>
      </c>
      <c r="N826" s="2">
        <v>0</v>
      </c>
      <c r="O826" s="2">
        <v>0.1</v>
      </c>
      <c r="P826" s="8">
        <v>0.4</v>
      </c>
      <c r="Q826" s="12">
        <f t="shared" si="77"/>
        <v>1.4726648532012652E-4</v>
      </c>
      <c r="R826" s="3">
        <f t="shared" si="78"/>
        <v>1.1738452730710283E-4</v>
      </c>
      <c r="S826" s="14">
        <f t="shared" si="79"/>
        <v>1.0834414026937628E-2</v>
      </c>
    </row>
    <row r="827" spans="12:19" x14ac:dyDescent="0.35">
      <c r="L827" s="2">
        <v>0</v>
      </c>
      <c r="M827" s="2">
        <v>0.5</v>
      </c>
      <c r="N827" s="2">
        <v>0</v>
      </c>
      <c r="O827" s="2">
        <v>0.1</v>
      </c>
      <c r="P827" s="8">
        <v>0.4</v>
      </c>
      <c r="Q827" s="12">
        <f t="shared" si="77"/>
        <v>2.4752267406954532E-4</v>
      </c>
      <c r="R827" s="3">
        <f t="shared" si="78"/>
        <v>1.3624836217105321E-4</v>
      </c>
      <c r="S827" s="14">
        <f t="shared" si="79"/>
        <v>1.167254737283397E-2</v>
      </c>
    </row>
    <row r="828" spans="12:19" x14ac:dyDescent="0.35">
      <c r="L828" s="2">
        <v>0.4</v>
      </c>
      <c r="M828" s="2">
        <v>0</v>
      </c>
      <c r="N828" s="2">
        <v>0.1</v>
      </c>
      <c r="O828" s="2">
        <v>0.1</v>
      </c>
      <c r="P828" s="8">
        <v>0.4</v>
      </c>
      <c r="Q828" s="12">
        <f t="shared" si="77"/>
        <v>-1.0900834774556033E-4</v>
      </c>
      <c r="R828" s="3">
        <f t="shared" si="78"/>
        <v>2.0199647220008323E-4</v>
      </c>
      <c r="S828" s="14">
        <f t="shared" si="79"/>
        <v>1.4212546295442038E-2</v>
      </c>
    </row>
    <row r="829" spans="12:19" x14ac:dyDescent="0.35">
      <c r="L829" s="2">
        <v>0.3</v>
      </c>
      <c r="M829" s="2">
        <v>0.1</v>
      </c>
      <c r="N829" s="2">
        <v>0.1</v>
      </c>
      <c r="O829" s="2">
        <v>0.1</v>
      </c>
      <c r="P829" s="8">
        <v>0.4</v>
      </c>
      <c r="Q829" s="12">
        <f t="shared" si="77"/>
        <v>-8.7521589961414483E-6</v>
      </c>
      <c r="R829" s="3">
        <f t="shared" si="78"/>
        <v>1.4286267486345126E-4</v>
      </c>
      <c r="S829" s="14">
        <f t="shared" si="79"/>
        <v>1.1952517511530834E-2</v>
      </c>
    </row>
    <row r="830" spans="12:19" x14ac:dyDescent="0.35">
      <c r="L830" s="2">
        <v>0.2</v>
      </c>
      <c r="M830" s="2">
        <v>0.2</v>
      </c>
      <c r="N830" s="2">
        <v>0.1</v>
      </c>
      <c r="O830" s="2">
        <v>0.1</v>
      </c>
      <c r="P830" s="8">
        <v>0.4</v>
      </c>
      <c r="Q830" s="12">
        <f t="shared" si="77"/>
        <v>9.1504029753277272E-5</v>
      </c>
      <c r="R830" s="3">
        <f t="shared" si="78"/>
        <v>1.0829685760794982E-4</v>
      </c>
      <c r="S830" s="14">
        <f t="shared" si="79"/>
        <v>1.0406577612642392E-2</v>
      </c>
    </row>
    <row r="831" spans="12:19" x14ac:dyDescent="0.35">
      <c r="L831" s="2">
        <v>0.1</v>
      </c>
      <c r="M831" s="2">
        <v>0.3</v>
      </c>
      <c r="N831" s="2">
        <v>0.1</v>
      </c>
      <c r="O831" s="2">
        <v>0.1</v>
      </c>
      <c r="P831" s="8">
        <v>0.4</v>
      </c>
      <c r="Q831" s="12">
        <f t="shared" si="77"/>
        <v>1.917602185026961E-4</v>
      </c>
      <c r="R831" s="3">
        <f t="shared" si="78"/>
        <v>9.8299020433578835E-5</v>
      </c>
      <c r="S831" s="14">
        <f t="shared" si="79"/>
        <v>9.9145862462121353E-3</v>
      </c>
    </row>
    <row r="832" spans="12:19" x14ac:dyDescent="0.35">
      <c r="L832" s="2">
        <v>0</v>
      </c>
      <c r="M832" s="2">
        <v>0.4</v>
      </c>
      <c r="N832" s="2">
        <v>0.1</v>
      </c>
      <c r="O832" s="2">
        <v>0.1</v>
      </c>
      <c r="P832" s="8">
        <v>0.4</v>
      </c>
      <c r="Q832" s="12">
        <f t="shared" si="77"/>
        <v>2.9201640725211493E-4</v>
      </c>
      <c r="R832" s="3">
        <f t="shared" si="78"/>
        <v>1.1286916334033835E-4</v>
      </c>
      <c r="S832" s="14">
        <f t="shared" si="79"/>
        <v>1.0623989991539825E-2</v>
      </c>
    </row>
    <row r="833" spans="12:19" x14ac:dyDescent="0.35">
      <c r="L833" s="2">
        <v>0.3</v>
      </c>
      <c r="M833" s="2">
        <v>0</v>
      </c>
      <c r="N833" s="2">
        <v>0.2</v>
      </c>
      <c r="O833" s="2">
        <v>0.1</v>
      </c>
      <c r="P833" s="8">
        <v>0.4</v>
      </c>
      <c r="Q833" s="12">
        <f t="shared" si="77"/>
        <v>3.5741574186428109E-5</v>
      </c>
      <c r="R833" s="3">
        <f t="shared" si="78"/>
        <v>1.4656308587424985E-4</v>
      </c>
      <c r="S833" s="14">
        <f t="shared" si="79"/>
        <v>1.210632420986031E-2</v>
      </c>
    </row>
    <row r="834" spans="12:19" x14ac:dyDescent="0.35">
      <c r="L834" s="2">
        <v>0.2</v>
      </c>
      <c r="M834" s="2">
        <v>0.1</v>
      </c>
      <c r="N834" s="2">
        <v>0.2</v>
      </c>
      <c r="O834" s="2">
        <v>0.1</v>
      </c>
      <c r="P834" s="8">
        <v>0.4</v>
      </c>
      <c r="Q834" s="12">
        <f t="shared" si="77"/>
        <v>1.3599776293584691E-4</v>
      </c>
      <c r="R834" s="3">
        <f t="shared" si="78"/>
        <v>1.0770357666155752E-4</v>
      </c>
      <c r="S834" s="14">
        <f t="shared" si="79"/>
        <v>1.0378033371576598E-2</v>
      </c>
    </row>
    <row r="835" spans="12:19" x14ac:dyDescent="0.35">
      <c r="L835" s="2">
        <v>0.1</v>
      </c>
      <c r="M835" s="2">
        <v>0.2</v>
      </c>
      <c r="N835" s="2">
        <v>0.2</v>
      </c>
      <c r="O835" s="2">
        <v>0.1</v>
      </c>
      <c r="P835" s="8">
        <v>0.4</v>
      </c>
      <c r="Q835" s="12">
        <f t="shared" ref="Q835:Q898" si="80">SUMPRODUCT($U$5:$Y$5,L835:P835)</f>
        <v>2.3625395168526577E-4</v>
      </c>
      <c r="R835" s="3">
        <f t="shared" ref="R835:R898" si="81">POWER(L835,2)*$V$9+POWER(M835,2)*$W$10+POWER(N835,2)*$X$11+POWER(O835,2)*$Y$12+POWER(P835,2)*$Z$13+2*(L835*M835*$V$10+N835*O835*$X$12+N835*P835*$X$13+$O$3*P835*$Y$13+L835*N835*$V$11+L835*O835*$V$12+L835*P835*$V$13+M835*N835*$W$11+M835*O835*$W$12+M835*P835*$W$13)</f>
        <v>9.3412047529995652E-5</v>
      </c>
      <c r="S835" s="14">
        <f t="shared" si="79"/>
        <v>9.664990818929714E-3</v>
      </c>
    </row>
    <row r="836" spans="12:19" x14ac:dyDescent="0.35">
      <c r="L836" s="2">
        <v>0</v>
      </c>
      <c r="M836" s="2">
        <v>0.3</v>
      </c>
      <c r="N836" s="2">
        <v>0.2</v>
      </c>
      <c r="O836" s="2">
        <v>0.1</v>
      </c>
      <c r="P836" s="8">
        <v>0.4</v>
      </c>
      <c r="Q836" s="12">
        <f t="shared" si="80"/>
        <v>3.3651014043468454E-4</v>
      </c>
      <c r="R836" s="3">
        <f t="shared" si="81"/>
        <v>1.0368849847956427E-4</v>
      </c>
      <c r="S836" s="14">
        <f t="shared" ref="S836:S899" si="82">SQRT(R836)</f>
        <v>1.0182754955293988E-2</v>
      </c>
    </row>
    <row r="837" spans="12:19" x14ac:dyDescent="0.35">
      <c r="L837" s="2">
        <v>0.2</v>
      </c>
      <c r="M837" s="2">
        <v>0</v>
      </c>
      <c r="N837" s="2">
        <v>0.3</v>
      </c>
      <c r="O837" s="2">
        <v>0.1</v>
      </c>
      <c r="P837" s="8">
        <v>0.4</v>
      </c>
      <c r="Q837" s="12">
        <f t="shared" si="80"/>
        <v>1.8049149611841652E-4</v>
      </c>
      <c r="R837" s="3">
        <f t="shared" si="81"/>
        <v>1.21308829685106E-4</v>
      </c>
      <c r="S837" s="14">
        <f t="shared" si="82"/>
        <v>1.1014028767218015E-2</v>
      </c>
    </row>
    <row r="838" spans="12:19" x14ac:dyDescent="0.35">
      <c r="L838" s="2">
        <v>0.1</v>
      </c>
      <c r="M838" s="2">
        <v>0.1</v>
      </c>
      <c r="N838" s="2">
        <v>0.3</v>
      </c>
      <c r="O838" s="2">
        <v>0.1</v>
      </c>
      <c r="P838" s="8">
        <v>0.4</v>
      </c>
      <c r="Q838" s="12">
        <f t="shared" si="80"/>
        <v>2.8074768486783532E-4</v>
      </c>
      <c r="R838" s="3">
        <f t="shared" si="81"/>
        <v>1.0272360859635326E-4</v>
      </c>
      <c r="S838" s="14">
        <f t="shared" si="82"/>
        <v>1.013526559081474E-2</v>
      </c>
    </row>
    <row r="839" spans="12:19" x14ac:dyDescent="0.35">
      <c r="L839" s="2">
        <v>0</v>
      </c>
      <c r="M839" s="2">
        <v>0.2</v>
      </c>
      <c r="N839" s="2">
        <v>0.3</v>
      </c>
      <c r="O839" s="2">
        <v>0.1</v>
      </c>
      <c r="P839" s="8">
        <v>0.4</v>
      </c>
      <c r="Q839" s="12">
        <f t="shared" si="80"/>
        <v>3.8100387361725415E-4</v>
      </c>
      <c r="R839" s="3">
        <f t="shared" si="81"/>
        <v>1.0870636758873099E-4</v>
      </c>
      <c r="S839" s="14">
        <f t="shared" si="82"/>
        <v>1.0426234583430923E-2</v>
      </c>
    </row>
    <row r="840" spans="12:19" x14ac:dyDescent="0.35">
      <c r="L840" s="2">
        <v>0.1</v>
      </c>
      <c r="M840" s="2">
        <v>0</v>
      </c>
      <c r="N840" s="2">
        <v>0.4</v>
      </c>
      <c r="O840" s="2">
        <v>0.1</v>
      </c>
      <c r="P840" s="8">
        <v>0.4</v>
      </c>
      <c r="Q840" s="12">
        <f t="shared" si="80"/>
        <v>3.2524141805040499E-4</v>
      </c>
      <c r="R840" s="3">
        <f t="shared" si="81"/>
        <v>1.2623370363265172E-4</v>
      </c>
      <c r="S840" s="14">
        <f t="shared" si="82"/>
        <v>1.123537732488997E-2</v>
      </c>
    </row>
    <row r="841" spans="12:19" x14ac:dyDescent="0.35">
      <c r="L841" s="2">
        <v>0</v>
      </c>
      <c r="M841" s="2">
        <v>0.1</v>
      </c>
      <c r="N841" s="2">
        <v>0.4</v>
      </c>
      <c r="O841" s="2">
        <v>0.1</v>
      </c>
      <c r="P841" s="8">
        <v>0.4</v>
      </c>
      <c r="Q841" s="12">
        <f t="shared" si="80"/>
        <v>4.2549760679982376E-4</v>
      </c>
      <c r="R841" s="3">
        <f t="shared" si="81"/>
        <v>1.2792277066783856E-4</v>
      </c>
      <c r="S841" s="14">
        <f t="shared" si="82"/>
        <v>1.1310294897474538E-2</v>
      </c>
    </row>
    <row r="842" spans="12:19" x14ac:dyDescent="0.35">
      <c r="L842" s="2">
        <v>0</v>
      </c>
      <c r="M842" s="2">
        <v>0</v>
      </c>
      <c r="N842" s="2">
        <v>0.5</v>
      </c>
      <c r="O842" s="2">
        <v>0.1</v>
      </c>
      <c r="P842" s="8">
        <v>0.4</v>
      </c>
      <c r="Q842" s="12">
        <f t="shared" si="80"/>
        <v>4.6999133998239337E-4</v>
      </c>
      <c r="R842" s="3">
        <f t="shared" si="81"/>
        <v>1.6133770771688692E-4</v>
      </c>
      <c r="S842" s="14">
        <f t="shared" si="82"/>
        <v>1.2701878117699244E-2</v>
      </c>
    </row>
    <row r="843" spans="12:19" x14ac:dyDescent="0.35">
      <c r="L843" s="2">
        <v>0.4</v>
      </c>
      <c r="M843" s="2">
        <v>0</v>
      </c>
      <c r="N843" s="2">
        <v>0</v>
      </c>
      <c r="O843" s="2">
        <v>0.2</v>
      </c>
      <c r="P843" s="8">
        <v>0.4</v>
      </c>
      <c r="Q843" s="12">
        <f t="shared" si="80"/>
        <v>-1.1120647581361754E-4</v>
      </c>
      <c r="R843" s="3">
        <f t="shared" si="81"/>
        <v>2.048246389086572E-4</v>
      </c>
      <c r="S843" s="14">
        <f t="shared" si="82"/>
        <v>1.4311695878150052E-2</v>
      </c>
    </row>
    <row r="844" spans="12:19" x14ac:dyDescent="0.35">
      <c r="L844" s="2">
        <v>0.3</v>
      </c>
      <c r="M844" s="2">
        <v>0.1</v>
      </c>
      <c r="N844" s="2">
        <v>0</v>
      </c>
      <c r="O844" s="2">
        <v>0.2</v>
      </c>
      <c r="P844" s="8">
        <v>0.4</v>
      </c>
      <c r="Q844" s="12">
        <f t="shared" si="80"/>
        <v>-1.095028706419866E-5</v>
      </c>
      <c r="R844" s="3">
        <f t="shared" si="81"/>
        <v>1.4435234746557827E-4</v>
      </c>
      <c r="S844" s="14">
        <f t="shared" si="82"/>
        <v>1.2014672174702824E-2</v>
      </c>
    </row>
    <row r="845" spans="12:19" x14ac:dyDescent="0.35">
      <c r="L845" s="2">
        <v>0.2</v>
      </c>
      <c r="M845" s="2">
        <v>0.2</v>
      </c>
      <c r="N845" s="2">
        <v>0</v>
      </c>
      <c r="O845" s="2">
        <v>0.2</v>
      </c>
      <c r="P845" s="8">
        <v>0.4</v>
      </c>
      <c r="Q845" s="12">
        <f t="shared" si="80"/>
        <v>8.930590168522006E-5</v>
      </c>
      <c r="R845" s="3">
        <f t="shared" si="81"/>
        <v>1.0844803610362987E-4</v>
      </c>
      <c r="S845" s="14">
        <f t="shared" si="82"/>
        <v>1.0413838682427814E-2</v>
      </c>
    </row>
    <row r="846" spans="12:19" x14ac:dyDescent="0.35">
      <c r="L846" s="2">
        <v>0.1</v>
      </c>
      <c r="M846" s="2">
        <v>0.3</v>
      </c>
      <c r="N846" s="2">
        <v>0</v>
      </c>
      <c r="O846" s="2">
        <v>0.2</v>
      </c>
      <c r="P846" s="8">
        <v>0.4</v>
      </c>
      <c r="Q846" s="12">
        <f t="shared" si="80"/>
        <v>1.8956209043463889E-4</v>
      </c>
      <c r="R846" s="3">
        <f t="shared" si="81"/>
        <v>9.7111704822811916E-5</v>
      </c>
      <c r="S846" s="14">
        <f t="shared" si="82"/>
        <v>9.8545271232470567E-3</v>
      </c>
    </row>
    <row r="847" spans="12:19" x14ac:dyDescent="0.35">
      <c r="L847" s="2">
        <v>0</v>
      </c>
      <c r="M847" s="2">
        <v>0.4</v>
      </c>
      <c r="N847" s="2">
        <v>0</v>
      </c>
      <c r="O847" s="2">
        <v>0.2</v>
      </c>
      <c r="P847" s="8">
        <v>0.4</v>
      </c>
      <c r="Q847" s="12">
        <f t="shared" si="80"/>
        <v>2.8981827918405772E-4</v>
      </c>
      <c r="R847" s="3">
        <f t="shared" si="81"/>
        <v>1.1034335362312451E-4</v>
      </c>
      <c r="S847" s="14">
        <f t="shared" si="82"/>
        <v>1.0504444469991001E-2</v>
      </c>
    </row>
    <row r="848" spans="12:19" x14ac:dyDescent="0.35">
      <c r="L848" s="2">
        <v>0.3</v>
      </c>
      <c r="M848" s="2">
        <v>0</v>
      </c>
      <c r="N848" s="2">
        <v>0.1</v>
      </c>
      <c r="O848" s="2">
        <v>0.2</v>
      </c>
      <c r="P848" s="8">
        <v>0.4</v>
      </c>
      <c r="Q848" s="12">
        <f t="shared" si="80"/>
        <v>3.3543446118370951E-5</v>
      </c>
      <c r="R848" s="3">
        <f t="shared" si="81"/>
        <v>1.4033571909073301E-4</v>
      </c>
      <c r="S848" s="14">
        <f t="shared" si="82"/>
        <v>1.1846337792361529E-2</v>
      </c>
    </row>
    <row r="849" spans="12:19" x14ac:dyDescent="0.35">
      <c r="L849" s="2">
        <v>0.2</v>
      </c>
      <c r="M849" s="2">
        <v>0.1</v>
      </c>
      <c r="N849" s="2">
        <v>0.1</v>
      </c>
      <c r="O849" s="2">
        <v>0.2</v>
      </c>
      <c r="P849" s="8">
        <v>0.4</v>
      </c>
      <c r="Q849" s="12">
        <f t="shared" si="80"/>
        <v>1.337996348677897E-4</v>
      </c>
      <c r="R849" s="3">
        <f t="shared" si="81"/>
        <v>1.0013771577159371E-4</v>
      </c>
      <c r="S849" s="14">
        <f t="shared" si="82"/>
        <v>1.0006883419506481E-2</v>
      </c>
    </row>
    <row r="850" spans="12:19" x14ac:dyDescent="0.35">
      <c r="L850" s="2">
        <v>0.1</v>
      </c>
      <c r="M850" s="2">
        <v>0.2</v>
      </c>
      <c r="N850" s="2">
        <v>0.1</v>
      </c>
      <c r="O850" s="2">
        <v>0.2</v>
      </c>
      <c r="P850" s="8">
        <v>0.4</v>
      </c>
      <c r="Q850" s="12">
        <f t="shared" si="80"/>
        <v>2.3405582361720853E-4</v>
      </c>
      <c r="R850" s="3">
        <f t="shared" si="81"/>
        <v>8.450769253358489E-5</v>
      </c>
      <c r="S850" s="14">
        <f t="shared" si="82"/>
        <v>9.192806564569108E-3</v>
      </c>
    </row>
    <row r="851" spans="12:19" x14ac:dyDescent="0.35">
      <c r="L851" s="2">
        <v>0</v>
      </c>
      <c r="M851" s="2">
        <v>0.3</v>
      </c>
      <c r="N851" s="2">
        <v>0.1</v>
      </c>
      <c r="O851" s="2">
        <v>0.2</v>
      </c>
      <c r="P851" s="8">
        <v>0.4</v>
      </c>
      <c r="Q851" s="12">
        <f t="shared" si="80"/>
        <v>3.3431201236662733E-4</v>
      </c>
      <c r="R851" s="3">
        <f t="shared" si="81"/>
        <v>9.3445649376706566E-5</v>
      </c>
      <c r="S851" s="14">
        <f t="shared" si="82"/>
        <v>9.66672899054828E-3</v>
      </c>
    </row>
    <row r="852" spans="12:19" x14ac:dyDescent="0.35">
      <c r="L852" s="2">
        <v>0.2</v>
      </c>
      <c r="M852" s="2">
        <v>0</v>
      </c>
      <c r="N852" s="2">
        <v>0.2</v>
      </c>
      <c r="O852" s="2">
        <v>0.2</v>
      </c>
      <c r="P852" s="8">
        <v>0.4</v>
      </c>
      <c r="Q852" s="12">
        <f t="shared" si="80"/>
        <v>1.7829336805035934E-4</v>
      </c>
      <c r="R852" s="3">
        <f t="shared" si="81"/>
        <v>1.0602592940949839E-4</v>
      </c>
      <c r="S852" s="14">
        <f t="shared" si="82"/>
        <v>1.0296889307431559E-2</v>
      </c>
    </row>
    <row r="853" spans="12:19" x14ac:dyDescent="0.35">
      <c r="L853" s="2">
        <v>0.1</v>
      </c>
      <c r="M853" s="2">
        <v>0.1</v>
      </c>
      <c r="N853" s="2">
        <v>0.2</v>
      </c>
      <c r="O853" s="2">
        <v>0.2</v>
      </c>
      <c r="P853" s="8">
        <v>0.4</v>
      </c>
      <c r="Q853" s="12">
        <f t="shared" si="80"/>
        <v>2.7854955679977811E-4</v>
      </c>
      <c r="R853" s="3">
        <f t="shared" si="81"/>
        <v>8.6102214214298694E-5</v>
      </c>
      <c r="S853" s="14">
        <f t="shared" si="82"/>
        <v>9.2791278800487872E-3</v>
      </c>
    </row>
    <row r="854" spans="12:19" x14ac:dyDescent="0.35">
      <c r="L854" s="2">
        <v>0</v>
      </c>
      <c r="M854" s="2">
        <v>0.2</v>
      </c>
      <c r="N854" s="2">
        <v>0.2</v>
      </c>
      <c r="O854" s="2">
        <v>0.2</v>
      </c>
      <c r="P854" s="8">
        <v>0.4</v>
      </c>
      <c r="Q854" s="12">
        <f t="shared" si="80"/>
        <v>3.7880574554919694E-4</v>
      </c>
      <c r="R854" s="3">
        <f t="shared" si="81"/>
        <v>9.0746479100229488E-5</v>
      </c>
      <c r="S854" s="14">
        <f t="shared" si="82"/>
        <v>9.5260946405244934E-3</v>
      </c>
    </row>
    <row r="855" spans="12:19" x14ac:dyDescent="0.35">
      <c r="L855" s="2">
        <v>0.1</v>
      </c>
      <c r="M855" s="2">
        <v>0</v>
      </c>
      <c r="N855" s="2">
        <v>0.3</v>
      </c>
      <c r="O855" s="2">
        <v>0.2</v>
      </c>
      <c r="P855" s="8">
        <v>0.4</v>
      </c>
      <c r="Q855" s="12">
        <f t="shared" si="80"/>
        <v>3.2304328998234772E-4</v>
      </c>
      <c r="R855" s="3">
        <f t="shared" si="81"/>
        <v>1.0189526986495327E-4</v>
      </c>
      <c r="S855" s="14">
        <f t="shared" si="82"/>
        <v>1.0094318692460292E-2</v>
      </c>
    </row>
    <row r="856" spans="12:19" x14ac:dyDescent="0.35">
      <c r="L856" s="2">
        <v>0</v>
      </c>
      <c r="M856" s="2">
        <v>0.1</v>
      </c>
      <c r="N856" s="2">
        <v>0.3</v>
      </c>
      <c r="O856" s="2">
        <v>0.2</v>
      </c>
      <c r="P856" s="8">
        <v>0.4</v>
      </c>
      <c r="Q856" s="12">
        <f t="shared" si="80"/>
        <v>4.2329947873176655E-4</v>
      </c>
      <c r="R856" s="3">
        <f t="shared" si="81"/>
        <v>1.0224584279369317E-4</v>
      </c>
      <c r="S856" s="14">
        <f t="shared" si="82"/>
        <v>1.0111668645366756E-2</v>
      </c>
    </row>
    <row r="857" spans="12:19" x14ac:dyDescent="0.35">
      <c r="L857" s="2">
        <v>0</v>
      </c>
      <c r="M857" s="2">
        <v>0</v>
      </c>
      <c r="N857" s="2">
        <v>0.4</v>
      </c>
      <c r="O857" s="2">
        <v>0.2</v>
      </c>
      <c r="P857" s="8">
        <v>0.4</v>
      </c>
      <c r="Q857" s="12">
        <f t="shared" si="80"/>
        <v>4.6779321191433622E-4</v>
      </c>
      <c r="R857" s="3">
        <f t="shared" si="81"/>
        <v>1.2794374045709773E-4</v>
      </c>
      <c r="S857" s="14">
        <f t="shared" si="82"/>
        <v>1.1311221881702159E-2</v>
      </c>
    </row>
    <row r="858" spans="12:19" x14ac:dyDescent="0.35">
      <c r="L858" s="2">
        <v>0.3</v>
      </c>
      <c r="M858" s="2">
        <v>0</v>
      </c>
      <c r="N858" s="2">
        <v>0</v>
      </c>
      <c r="O858" s="2">
        <v>0.3</v>
      </c>
      <c r="P858" s="8">
        <v>0.4</v>
      </c>
      <c r="Q858" s="12">
        <f t="shared" si="80"/>
        <v>3.1345318050313685E-5</v>
      </c>
      <c r="R858" s="3">
        <f t="shared" si="81"/>
        <v>1.4581823661886134E-4</v>
      </c>
      <c r="S858" s="14">
        <f t="shared" si="82"/>
        <v>1.207552220895069E-2</v>
      </c>
    </row>
    <row r="859" spans="12:19" x14ac:dyDescent="0.35">
      <c r="L859" s="2">
        <v>0.2</v>
      </c>
      <c r="M859" s="2">
        <v>0.1</v>
      </c>
      <c r="N859" s="2">
        <v>0</v>
      </c>
      <c r="O859" s="2">
        <v>0.3</v>
      </c>
      <c r="P859" s="8">
        <v>0.4</v>
      </c>
      <c r="Q859" s="12">
        <f t="shared" si="80"/>
        <v>1.3160150679973246E-4</v>
      </c>
      <c r="R859" s="3">
        <f t="shared" si="81"/>
        <v>1.0428173919327513E-4</v>
      </c>
      <c r="S859" s="14">
        <f t="shared" si="82"/>
        <v>1.0211843085030006E-2</v>
      </c>
    </row>
    <row r="860" spans="12:19" x14ac:dyDescent="0.35">
      <c r="L860" s="2">
        <v>0.1</v>
      </c>
      <c r="M860" s="2">
        <v>0.2</v>
      </c>
      <c r="N860" s="2">
        <v>0</v>
      </c>
      <c r="O860" s="2">
        <v>0.3</v>
      </c>
      <c r="P860" s="8">
        <v>0.4</v>
      </c>
      <c r="Q860" s="12">
        <f t="shared" si="80"/>
        <v>2.3185769554915129E-4</v>
      </c>
      <c r="R860" s="3">
        <f t="shared" si="81"/>
        <v>8.7313221848819354E-5</v>
      </c>
      <c r="S860" s="14">
        <f t="shared" si="82"/>
        <v>9.3441544212849639E-3</v>
      </c>
    </row>
    <row r="861" spans="12:19" x14ac:dyDescent="0.35">
      <c r="L861" s="2">
        <v>0</v>
      </c>
      <c r="M861" s="2">
        <v>0.3</v>
      </c>
      <c r="N861" s="2">
        <v>0</v>
      </c>
      <c r="O861" s="2">
        <v>0.3</v>
      </c>
      <c r="P861" s="8">
        <v>0.4</v>
      </c>
      <c r="Q861" s="12">
        <f t="shared" si="80"/>
        <v>3.3211388429857012E-4</v>
      </c>
      <c r="R861" s="3">
        <f t="shared" si="81"/>
        <v>9.4912684585494062E-5</v>
      </c>
      <c r="S861" s="14">
        <f t="shared" si="82"/>
        <v>9.7423141288655885E-3</v>
      </c>
    </row>
    <row r="862" spans="12:19" x14ac:dyDescent="0.35">
      <c r="L862" s="2">
        <v>0.2</v>
      </c>
      <c r="M862" s="2">
        <v>0</v>
      </c>
      <c r="N862" s="2">
        <v>0.1</v>
      </c>
      <c r="O862" s="2">
        <v>0.3</v>
      </c>
      <c r="P862" s="8">
        <v>0.4</v>
      </c>
      <c r="Q862" s="12">
        <f t="shared" si="80"/>
        <v>1.7609523998230207E-4</v>
      </c>
      <c r="R862" s="3">
        <f t="shared" si="81"/>
        <v>1.0245291344553594E-4</v>
      </c>
      <c r="S862" s="14">
        <f t="shared" si="82"/>
        <v>1.012190265935886E-2</v>
      </c>
    </row>
    <row r="863" spans="12:19" x14ac:dyDescent="0.35">
      <c r="L863" s="2">
        <v>0.1</v>
      </c>
      <c r="M863" s="2">
        <v>0.1</v>
      </c>
      <c r="N863" s="2">
        <v>0.1</v>
      </c>
      <c r="O863" s="2">
        <v>0.3</v>
      </c>
      <c r="P863" s="8">
        <v>0.4</v>
      </c>
      <c r="Q863" s="12">
        <f t="shared" si="80"/>
        <v>2.763514287317209E-4</v>
      </c>
      <c r="R863" s="3">
        <f t="shared" si="81"/>
        <v>8.1190704143889301E-5</v>
      </c>
      <c r="S863" s="14">
        <f t="shared" si="82"/>
        <v>9.0105884460388776E-3</v>
      </c>
    </row>
    <row r="864" spans="12:19" x14ac:dyDescent="0.35">
      <c r="L864" s="2">
        <v>0</v>
      </c>
      <c r="M864" s="2">
        <v>0.2</v>
      </c>
      <c r="N864" s="2">
        <v>0.1</v>
      </c>
      <c r="O864" s="2">
        <v>0.3</v>
      </c>
      <c r="P864" s="8">
        <v>0.4</v>
      </c>
      <c r="Q864" s="12">
        <f t="shared" si="80"/>
        <v>3.7660761748113973E-4</v>
      </c>
      <c r="R864" s="3">
        <f t="shared" si="81"/>
        <v>8.4496474923373142E-5</v>
      </c>
      <c r="S864" s="14">
        <f t="shared" si="82"/>
        <v>9.1921964145340769E-3</v>
      </c>
    </row>
    <row r="865" spans="12:19" x14ac:dyDescent="0.35">
      <c r="L865" s="2">
        <v>0.1</v>
      </c>
      <c r="M865" s="2">
        <v>0</v>
      </c>
      <c r="N865" s="2">
        <v>0.2</v>
      </c>
      <c r="O865" s="2">
        <v>0.3</v>
      </c>
      <c r="P865" s="8">
        <v>0.4</v>
      </c>
      <c r="Q865" s="12">
        <f t="shared" si="80"/>
        <v>3.2084516191429051E-4</v>
      </c>
      <c r="R865" s="3">
        <f t="shared" si="81"/>
        <v>8.9266720408900051E-5</v>
      </c>
      <c r="S865" s="14">
        <f t="shared" si="82"/>
        <v>9.4481067102832848E-3</v>
      </c>
    </row>
    <row r="866" spans="12:19" x14ac:dyDescent="0.35">
      <c r="L866" s="2">
        <v>0</v>
      </c>
      <c r="M866" s="2">
        <v>0.1</v>
      </c>
      <c r="N866" s="2">
        <v>0.2</v>
      </c>
      <c r="O866" s="2">
        <v>0.3</v>
      </c>
      <c r="P866" s="8">
        <v>0.4</v>
      </c>
      <c r="Q866" s="12">
        <f t="shared" si="80"/>
        <v>4.2110135066370934E-4</v>
      </c>
      <c r="R866" s="3">
        <f t="shared" si="81"/>
        <v>8.8278799231193011E-5</v>
      </c>
      <c r="S866" s="14">
        <f t="shared" si="82"/>
        <v>9.395679817405073E-3</v>
      </c>
    </row>
    <row r="867" spans="12:19" x14ac:dyDescent="0.35">
      <c r="L867" s="2">
        <v>0</v>
      </c>
      <c r="M867" s="2">
        <v>0</v>
      </c>
      <c r="N867" s="2">
        <v>0.3</v>
      </c>
      <c r="O867" s="2">
        <v>0.3</v>
      </c>
      <c r="P867" s="8">
        <v>0.4</v>
      </c>
      <c r="Q867" s="12">
        <f t="shared" si="80"/>
        <v>4.6559508384627895E-4</v>
      </c>
      <c r="R867" s="3">
        <f t="shared" si="81"/>
        <v>1.0625965750895368E-4</v>
      </c>
      <c r="S867" s="14">
        <f t="shared" si="82"/>
        <v>1.0308232511393681E-2</v>
      </c>
    </row>
    <row r="868" spans="12:19" x14ac:dyDescent="0.35">
      <c r="L868" s="2">
        <v>0.2</v>
      </c>
      <c r="M868" s="2">
        <v>0</v>
      </c>
      <c r="N868" s="2">
        <v>0</v>
      </c>
      <c r="O868" s="2">
        <v>0.4</v>
      </c>
      <c r="P868" s="8">
        <v>0.4</v>
      </c>
      <c r="Q868" s="12">
        <f t="shared" si="80"/>
        <v>1.7389711191424486E-4</v>
      </c>
      <c r="R868" s="3">
        <f t="shared" si="81"/>
        <v>1.105897817932187E-4</v>
      </c>
      <c r="S868" s="14">
        <f t="shared" si="82"/>
        <v>1.0516167638128383E-2</v>
      </c>
    </row>
    <row r="869" spans="12:19" x14ac:dyDescent="0.35">
      <c r="L869" s="2">
        <v>0.1</v>
      </c>
      <c r="M869" s="2">
        <v>0.1</v>
      </c>
      <c r="N869" s="2">
        <v>0</v>
      </c>
      <c r="O869" s="2">
        <v>0.4</v>
      </c>
      <c r="P869" s="8">
        <v>0.4</v>
      </c>
      <c r="Q869" s="12">
        <f t="shared" si="80"/>
        <v>2.7415330066366369E-4</v>
      </c>
      <c r="R869" s="3">
        <f t="shared" si="81"/>
        <v>8.7989078385125119E-5</v>
      </c>
      <c r="S869" s="14">
        <f t="shared" si="82"/>
        <v>9.3802493775552217E-3</v>
      </c>
    </row>
    <row r="870" spans="12:19" x14ac:dyDescent="0.35">
      <c r="L870" s="2">
        <v>0</v>
      </c>
      <c r="M870" s="2">
        <v>0.2</v>
      </c>
      <c r="N870" s="2">
        <v>0</v>
      </c>
      <c r="O870" s="2">
        <v>0.4</v>
      </c>
      <c r="P870" s="8">
        <v>0.4</v>
      </c>
      <c r="Q870" s="12">
        <f t="shared" si="80"/>
        <v>3.7440948941308252E-4</v>
      </c>
      <c r="R870" s="3">
        <f t="shared" si="81"/>
        <v>8.9956355058162021E-5</v>
      </c>
      <c r="S870" s="14">
        <f t="shared" si="82"/>
        <v>9.4845324111503797E-3</v>
      </c>
    </row>
    <row r="871" spans="12:19" x14ac:dyDescent="0.35">
      <c r="L871" s="2">
        <v>0.1</v>
      </c>
      <c r="M871" s="2">
        <v>0</v>
      </c>
      <c r="N871" s="2">
        <v>0.1</v>
      </c>
      <c r="O871" s="2">
        <v>0.4</v>
      </c>
      <c r="P871" s="8">
        <v>0.4</v>
      </c>
      <c r="Q871" s="12">
        <f t="shared" si="80"/>
        <v>3.186470338462333E-4</v>
      </c>
      <c r="R871" s="3">
        <f t="shared" si="81"/>
        <v>8.8348055264492027E-5</v>
      </c>
      <c r="S871" s="14">
        <f t="shared" si="82"/>
        <v>9.3993646202545009E-3</v>
      </c>
    </row>
    <row r="872" spans="12:19" x14ac:dyDescent="0.35">
      <c r="L872" s="2">
        <v>0</v>
      </c>
      <c r="M872" s="2">
        <v>0.1</v>
      </c>
      <c r="N872" s="2">
        <v>0.1</v>
      </c>
      <c r="O872" s="2">
        <v>0.4</v>
      </c>
      <c r="P872" s="8">
        <v>0.4</v>
      </c>
      <c r="Q872" s="12">
        <f t="shared" si="80"/>
        <v>4.1890322259565213E-4</v>
      </c>
      <c r="R872" s="3">
        <f t="shared" si="81"/>
        <v>8.6021639980338047E-5</v>
      </c>
      <c r="S872" s="14">
        <f t="shared" si="82"/>
        <v>9.2747851716542765E-3</v>
      </c>
    </row>
    <row r="873" spans="12:19" x14ac:dyDescent="0.35">
      <c r="L873" s="2">
        <v>0</v>
      </c>
      <c r="M873" s="2">
        <v>0</v>
      </c>
      <c r="N873" s="2">
        <v>0.2</v>
      </c>
      <c r="O873" s="2">
        <v>0.4</v>
      </c>
      <c r="P873" s="8">
        <v>0.4</v>
      </c>
      <c r="Q873" s="12">
        <f t="shared" si="80"/>
        <v>4.6339695577822174E-4</v>
      </c>
      <c r="R873" s="3">
        <f t="shared" si="81"/>
        <v>9.628545887245489E-5</v>
      </c>
      <c r="S873" s="14">
        <f t="shared" si="82"/>
        <v>9.8125154202403624E-3</v>
      </c>
    </row>
    <row r="874" spans="12:19" x14ac:dyDescent="0.35">
      <c r="L874" s="2">
        <v>0.1</v>
      </c>
      <c r="M874" s="2">
        <v>0</v>
      </c>
      <c r="N874" s="2">
        <v>0</v>
      </c>
      <c r="O874" s="2">
        <v>0.5</v>
      </c>
      <c r="P874" s="8">
        <v>0.4</v>
      </c>
      <c r="Q874" s="12">
        <f t="shared" si="80"/>
        <v>3.1644890577817609E-4</v>
      </c>
      <c r="R874" s="3">
        <f t="shared" si="81"/>
        <v>9.9139274431729187E-5</v>
      </c>
      <c r="S874" s="14">
        <f t="shared" si="82"/>
        <v>9.9568707148244718E-3</v>
      </c>
    </row>
    <row r="875" spans="12:19" x14ac:dyDescent="0.35">
      <c r="L875" s="2">
        <v>0</v>
      </c>
      <c r="M875" s="2">
        <v>0.1</v>
      </c>
      <c r="N875" s="2">
        <v>0</v>
      </c>
      <c r="O875" s="2">
        <v>0.5</v>
      </c>
      <c r="P875" s="8">
        <v>0.4</v>
      </c>
      <c r="Q875" s="12">
        <f t="shared" si="80"/>
        <v>4.1670509452759491E-4</v>
      </c>
      <c r="R875" s="3">
        <f t="shared" si="81"/>
        <v>9.5474365041128253E-5</v>
      </c>
      <c r="S875" s="14">
        <f t="shared" si="82"/>
        <v>9.7710984562191499E-3</v>
      </c>
    </row>
    <row r="876" spans="12:19" x14ac:dyDescent="0.35">
      <c r="L876" s="2">
        <v>0</v>
      </c>
      <c r="M876" s="2">
        <v>0</v>
      </c>
      <c r="N876" s="2">
        <v>0.1</v>
      </c>
      <c r="O876" s="2">
        <v>0.5</v>
      </c>
      <c r="P876" s="8">
        <v>0.4</v>
      </c>
      <c r="Q876" s="12">
        <f t="shared" si="80"/>
        <v>4.6119882771016453E-4</v>
      </c>
      <c r="R876" s="3">
        <f t="shared" si="81"/>
        <v>9.8021144547601253E-5</v>
      </c>
      <c r="S876" s="14">
        <f t="shared" si="82"/>
        <v>9.9005628399400237E-3</v>
      </c>
    </row>
    <row r="877" spans="12:19" x14ac:dyDescent="0.35">
      <c r="L877" s="2">
        <v>0</v>
      </c>
      <c r="M877" s="2">
        <v>0</v>
      </c>
      <c r="N877" s="2">
        <v>0</v>
      </c>
      <c r="O877" s="2">
        <v>0.6</v>
      </c>
      <c r="P877" s="8">
        <v>0.4</v>
      </c>
      <c r="Q877" s="12">
        <f t="shared" si="80"/>
        <v>4.5900069964210726E-4</v>
      </c>
      <c r="R877" s="3">
        <f t="shared" si="81"/>
        <v>1.1146671453439284E-4</v>
      </c>
      <c r="S877" s="14">
        <f t="shared" si="82"/>
        <v>1.0557779810850047E-2</v>
      </c>
    </row>
    <row r="878" spans="12:19" x14ac:dyDescent="0.35">
      <c r="L878" s="2">
        <v>0.5</v>
      </c>
      <c r="M878" s="2">
        <v>0</v>
      </c>
      <c r="N878" s="2">
        <v>0</v>
      </c>
      <c r="O878" s="2">
        <v>0</v>
      </c>
      <c r="P878" s="8">
        <v>0.5</v>
      </c>
      <c r="Q878" s="12">
        <f t="shared" si="80"/>
        <v>-2.0591667383672372E-4</v>
      </c>
      <c r="R878" s="3">
        <f t="shared" si="81"/>
        <v>2.8538725635749297E-4</v>
      </c>
      <c r="S878" s="14">
        <f t="shared" si="82"/>
        <v>1.6893408666029865E-2</v>
      </c>
    </row>
    <row r="879" spans="12:19" x14ac:dyDescent="0.35">
      <c r="L879" s="2">
        <v>0.4</v>
      </c>
      <c r="M879" s="2">
        <v>0.1</v>
      </c>
      <c r="N879" s="2">
        <v>0</v>
      </c>
      <c r="O879" s="2">
        <v>0</v>
      </c>
      <c r="P879" s="8">
        <v>0.5</v>
      </c>
      <c r="Q879" s="12">
        <f t="shared" si="80"/>
        <v>-1.0566048508730489E-4</v>
      </c>
      <c r="R879" s="3">
        <f t="shared" si="81"/>
        <v>2.0652149404127513E-4</v>
      </c>
      <c r="S879" s="14">
        <f t="shared" si="82"/>
        <v>1.4370855717085018E-2</v>
      </c>
    </row>
    <row r="880" spans="12:19" x14ac:dyDescent="0.35">
      <c r="L880" s="2">
        <v>0.3</v>
      </c>
      <c r="M880" s="2">
        <v>0.2</v>
      </c>
      <c r="N880" s="2">
        <v>0</v>
      </c>
      <c r="O880" s="2">
        <v>0</v>
      </c>
      <c r="P880" s="8">
        <v>0.5</v>
      </c>
      <c r="Q880" s="12">
        <f t="shared" si="80"/>
        <v>-5.4042963378860649E-6</v>
      </c>
      <c r="R880" s="3">
        <f t="shared" si="81"/>
        <v>1.5222371180618769E-4</v>
      </c>
      <c r="S880" s="14">
        <f t="shared" si="82"/>
        <v>1.2337897381895656E-2</v>
      </c>
    </row>
    <row r="881" spans="12:19" x14ac:dyDescent="0.35">
      <c r="L881" s="2">
        <v>0.2</v>
      </c>
      <c r="M881" s="2">
        <v>0.3</v>
      </c>
      <c r="N881" s="2">
        <v>0</v>
      </c>
      <c r="O881" s="2">
        <v>0</v>
      </c>
      <c r="P881" s="8">
        <v>0.5</v>
      </c>
      <c r="Q881" s="12">
        <f t="shared" si="80"/>
        <v>9.485189241153271E-5</v>
      </c>
      <c r="R881" s="3">
        <f t="shared" si="81"/>
        <v>1.2249390965223079E-4</v>
      </c>
      <c r="S881" s="14">
        <f t="shared" si="82"/>
        <v>1.106769667330248E-2</v>
      </c>
    </row>
    <row r="882" spans="12:19" x14ac:dyDescent="0.35">
      <c r="L882" s="2">
        <v>0.1</v>
      </c>
      <c r="M882" s="2">
        <v>0.4</v>
      </c>
      <c r="N882" s="2">
        <v>0</v>
      </c>
      <c r="O882" s="2">
        <v>0</v>
      </c>
      <c r="P882" s="8">
        <v>0.5</v>
      </c>
      <c r="Q882" s="12">
        <f t="shared" si="80"/>
        <v>1.9510808116095154E-4</v>
      </c>
      <c r="R882" s="3">
        <f t="shared" si="81"/>
        <v>1.1733208757940439E-4</v>
      </c>
      <c r="S882" s="14">
        <f t="shared" si="82"/>
        <v>1.0831993702887959E-2</v>
      </c>
    </row>
    <row r="883" spans="12:19" x14ac:dyDescent="0.35">
      <c r="L883" s="2">
        <v>0</v>
      </c>
      <c r="M883" s="2">
        <v>0.5</v>
      </c>
      <c r="N883" s="2">
        <v>0</v>
      </c>
      <c r="O883" s="2">
        <v>0</v>
      </c>
      <c r="P883" s="8">
        <v>0.5</v>
      </c>
      <c r="Q883" s="12">
        <f t="shared" si="80"/>
        <v>2.9536426991037031E-4</v>
      </c>
      <c r="R883" s="3">
        <f t="shared" si="81"/>
        <v>1.3673824558770842E-4</v>
      </c>
      <c r="S883" s="14">
        <f t="shared" si="82"/>
        <v>1.1693512970348492E-2</v>
      </c>
    </row>
    <row r="884" spans="12:19" x14ac:dyDescent="0.35">
      <c r="L884" s="2">
        <v>0.4</v>
      </c>
      <c r="M884" s="2">
        <v>0</v>
      </c>
      <c r="N884" s="2">
        <v>0.1</v>
      </c>
      <c r="O884" s="2">
        <v>0</v>
      </c>
      <c r="P884" s="8">
        <v>0.5</v>
      </c>
      <c r="Q884" s="12">
        <f t="shared" si="80"/>
        <v>-6.1166751904735282E-5</v>
      </c>
      <c r="R884" s="3">
        <f t="shared" si="81"/>
        <v>2.0001566471640369E-4</v>
      </c>
      <c r="S884" s="14">
        <f t="shared" si="82"/>
        <v>1.4142689444246582E-2</v>
      </c>
    </row>
    <row r="885" spans="12:19" x14ac:dyDescent="0.35">
      <c r="L885" s="2">
        <v>0.3</v>
      </c>
      <c r="M885" s="2">
        <v>0.1</v>
      </c>
      <c r="N885" s="2">
        <v>0.1</v>
      </c>
      <c r="O885" s="2">
        <v>0</v>
      </c>
      <c r="P885" s="8">
        <v>0.5</v>
      </c>
      <c r="Q885" s="12">
        <f t="shared" si="80"/>
        <v>3.90894368446836E-5</v>
      </c>
      <c r="R885" s="3">
        <f t="shared" si="81"/>
        <v>1.4142419052412539E-4</v>
      </c>
      <c r="S885" s="14">
        <f t="shared" si="82"/>
        <v>1.1892190316511311E-2</v>
      </c>
    </row>
    <row r="886" spans="12:19" x14ac:dyDescent="0.35">
      <c r="L886" s="2">
        <v>0.2</v>
      </c>
      <c r="M886" s="2">
        <v>0.2</v>
      </c>
      <c r="N886" s="2">
        <v>0.1</v>
      </c>
      <c r="O886" s="2">
        <v>0</v>
      </c>
      <c r="P886" s="8">
        <v>0.5</v>
      </c>
      <c r="Q886" s="12">
        <f t="shared" si="80"/>
        <v>1.3934562559410229E-4</v>
      </c>
      <c r="R886" s="3">
        <f t="shared" si="81"/>
        <v>1.0740069641297761E-4</v>
      </c>
      <c r="S886" s="14">
        <f t="shared" si="82"/>
        <v>1.0363430726018176E-2</v>
      </c>
    </row>
    <row r="887" spans="12:19" x14ac:dyDescent="0.35">
      <c r="L887" s="2">
        <v>0.1</v>
      </c>
      <c r="M887" s="2">
        <v>0.3</v>
      </c>
      <c r="N887" s="2">
        <v>0.1</v>
      </c>
      <c r="O887" s="2">
        <v>0</v>
      </c>
      <c r="P887" s="8">
        <v>0.5</v>
      </c>
      <c r="Q887" s="12">
        <f t="shared" si="80"/>
        <v>2.3960181434352112E-4</v>
      </c>
      <c r="R887" s="3">
        <f t="shared" si="81"/>
        <v>9.7945182382960268E-5</v>
      </c>
      <c r="S887" s="14">
        <f t="shared" si="82"/>
        <v>9.8967258415579174E-3</v>
      </c>
    </row>
    <row r="888" spans="12:19" x14ac:dyDescent="0.35">
      <c r="L888" s="2">
        <v>0</v>
      </c>
      <c r="M888" s="2">
        <v>0.4</v>
      </c>
      <c r="N888" s="2">
        <v>0.1</v>
      </c>
      <c r="O888" s="2">
        <v>0</v>
      </c>
      <c r="P888" s="8">
        <v>0.5</v>
      </c>
      <c r="Q888" s="12">
        <f t="shared" si="80"/>
        <v>3.3985800309293998E-4</v>
      </c>
      <c r="R888" s="3">
        <f t="shared" si="81"/>
        <v>1.1305764843407348E-4</v>
      </c>
      <c r="S888" s="14">
        <f t="shared" si="82"/>
        <v>1.0632857021237212E-2</v>
      </c>
    </row>
    <row r="889" spans="12:19" x14ac:dyDescent="0.35">
      <c r="L889" s="2">
        <v>0.3</v>
      </c>
      <c r="M889" s="2">
        <v>0</v>
      </c>
      <c r="N889" s="2">
        <v>0.2</v>
      </c>
      <c r="O889" s="2">
        <v>0</v>
      </c>
      <c r="P889" s="8">
        <v>0.5</v>
      </c>
      <c r="Q889" s="12">
        <f t="shared" si="80"/>
        <v>8.3583170027253157E-5</v>
      </c>
      <c r="R889" s="3">
        <f t="shared" si="81"/>
        <v>1.4482320321200387E-4</v>
      </c>
      <c r="S889" s="14">
        <f t="shared" si="82"/>
        <v>1.2034251252653979E-2</v>
      </c>
    </row>
    <row r="890" spans="12:19" x14ac:dyDescent="0.35">
      <c r="L890" s="2">
        <v>0.2</v>
      </c>
      <c r="M890" s="2">
        <v>0.1</v>
      </c>
      <c r="N890" s="2">
        <v>0.2</v>
      </c>
      <c r="O890" s="2">
        <v>0</v>
      </c>
      <c r="P890" s="8">
        <v>0.5</v>
      </c>
      <c r="Q890" s="12">
        <f t="shared" si="80"/>
        <v>1.8383935877667193E-4</v>
      </c>
      <c r="R890" s="3">
        <f t="shared" si="81"/>
        <v>1.0650601714366523E-4</v>
      </c>
      <c r="S890" s="14">
        <f t="shared" si="82"/>
        <v>1.0320175247720614E-2</v>
      </c>
    </row>
    <row r="891" spans="12:19" x14ac:dyDescent="0.35">
      <c r="L891" s="2">
        <v>0.1</v>
      </c>
      <c r="M891" s="2">
        <v>0.2</v>
      </c>
      <c r="N891" s="2">
        <v>0.2</v>
      </c>
      <c r="O891" s="2">
        <v>0</v>
      </c>
      <c r="P891" s="8">
        <v>0.5</v>
      </c>
      <c r="Q891" s="12">
        <f t="shared" si="80"/>
        <v>2.8409554752609076E-4</v>
      </c>
      <c r="R891" s="3">
        <f t="shared" si="81"/>
        <v>9.2756811156457017E-5</v>
      </c>
      <c r="S891" s="14">
        <f t="shared" si="82"/>
        <v>9.6310337532612266E-3</v>
      </c>
    </row>
    <row r="892" spans="12:19" x14ac:dyDescent="0.35">
      <c r="L892" s="2">
        <v>0</v>
      </c>
      <c r="M892" s="2">
        <v>0.3</v>
      </c>
      <c r="N892" s="2">
        <v>0.2</v>
      </c>
      <c r="O892" s="2">
        <v>0</v>
      </c>
      <c r="P892" s="8">
        <v>0.5</v>
      </c>
      <c r="Q892" s="12">
        <f t="shared" si="80"/>
        <v>3.8435173627550959E-4</v>
      </c>
      <c r="R892" s="3">
        <f t="shared" si="81"/>
        <v>1.0357558525037928E-4</v>
      </c>
      <c r="S892" s="14">
        <f t="shared" si="82"/>
        <v>1.0177209109101536E-2</v>
      </c>
    </row>
    <row r="893" spans="12:19" x14ac:dyDescent="0.35">
      <c r="L893" s="2">
        <v>0.2</v>
      </c>
      <c r="M893" s="2">
        <v>0</v>
      </c>
      <c r="N893" s="2">
        <v>0.3</v>
      </c>
      <c r="O893" s="2">
        <v>0</v>
      </c>
      <c r="P893" s="8">
        <v>0.5</v>
      </c>
      <c r="Q893" s="12">
        <f t="shared" si="80"/>
        <v>2.2833309195924154E-4</v>
      </c>
      <c r="R893" s="3">
        <f t="shared" si="81"/>
        <v>1.1980987184429362E-4</v>
      </c>
      <c r="S893" s="14">
        <f t="shared" si="82"/>
        <v>1.0945769586661946E-2</v>
      </c>
    </row>
    <row r="894" spans="12:19" x14ac:dyDescent="0.35">
      <c r="L894" s="2">
        <v>0.1</v>
      </c>
      <c r="M894" s="2">
        <v>0.1</v>
      </c>
      <c r="N894" s="2">
        <v>0.3</v>
      </c>
      <c r="O894" s="2">
        <v>0</v>
      </c>
      <c r="P894" s="8">
        <v>0.5</v>
      </c>
      <c r="Q894" s="12">
        <f t="shared" si="80"/>
        <v>3.2858928070866037E-4</v>
      </c>
      <c r="R894" s="3">
        <f t="shared" si="81"/>
        <v>1.0176697389989454E-4</v>
      </c>
      <c r="S894" s="14">
        <f t="shared" si="82"/>
        <v>1.0087961830810748E-2</v>
      </c>
    </row>
    <row r="895" spans="12:19" x14ac:dyDescent="0.35">
      <c r="L895" s="2">
        <v>0</v>
      </c>
      <c r="M895" s="2">
        <v>0.2</v>
      </c>
      <c r="N895" s="2">
        <v>0.3</v>
      </c>
      <c r="O895" s="2">
        <v>0</v>
      </c>
      <c r="P895" s="8">
        <v>0.5</v>
      </c>
      <c r="Q895" s="12">
        <f t="shared" si="80"/>
        <v>4.288454694580792E-4</v>
      </c>
      <c r="R895" s="3">
        <f t="shared" si="81"/>
        <v>1.0829205603662595E-4</v>
      </c>
      <c r="S895" s="14">
        <f t="shared" si="82"/>
        <v>1.0406346911218459E-2</v>
      </c>
    </row>
    <row r="896" spans="12:19" x14ac:dyDescent="0.35">
      <c r="L896" s="2">
        <v>0.1</v>
      </c>
      <c r="M896" s="2">
        <v>0</v>
      </c>
      <c r="N896" s="2">
        <v>0.4</v>
      </c>
      <c r="O896" s="2">
        <v>0</v>
      </c>
      <c r="P896" s="8">
        <v>0.5</v>
      </c>
      <c r="Q896" s="12">
        <f t="shared" si="80"/>
        <v>3.7308301389122998E-4</v>
      </c>
      <c r="R896" s="3">
        <f t="shared" si="81"/>
        <v>1.2497567061327291E-4</v>
      </c>
      <c r="S896" s="14">
        <f t="shared" si="82"/>
        <v>1.1179251791299492E-2</v>
      </c>
    </row>
    <row r="897" spans="12:19" x14ac:dyDescent="0.35">
      <c r="L897" s="2">
        <v>0</v>
      </c>
      <c r="M897" s="2">
        <v>0.1</v>
      </c>
      <c r="N897" s="2">
        <v>0.4</v>
      </c>
      <c r="O897" s="2">
        <v>0</v>
      </c>
      <c r="P897" s="8">
        <v>0.5</v>
      </c>
      <c r="Q897" s="12">
        <f t="shared" si="80"/>
        <v>4.7333920264064881E-4</v>
      </c>
      <c r="R897" s="3">
        <f t="shared" si="81"/>
        <v>1.2720706079281347E-4</v>
      </c>
      <c r="S897" s="14">
        <f t="shared" si="82"/>
        <v>1.1278610765196814E-2</v>
      </c>
    </row>
    <row r="898" spans="12:19" x14ac:dyDescent="0.35">
      <c r="L898" s="2">
        <v>0</v>
      </c>
      <c r="M898" s="2">
        <v>0</v>
      </c>
      <c r="N898" s="2">
        <v>0.5</v>
      </c>
      <c r="O898" s="2">
        <v>0</v>
      </c>
      <c r="P898" s="8">
        <v>0.5</v>
      </c>
      <c r="Q898" s="12">
        <f t="shared" si="80"/>
        <v>5.1783293582321837E-4</v>
      </c>
      <c r="R898" s="3">
        <f t="shared" si="81"/>
        <v>1.6032059951894172E-4</v>
      </c>
      <c r="S898" s="14">
        <f t="shared" si="82"/>
        <v>1.2661777107457773E-2</v>
      </c>
    </row>
    <row r="899" spans="12:19" x14ac:dyDescent="0.35">
      <c r="L899" s="2">
        <v>0.4</v>
      </c>
      <c r="M899" s="2">
        <v>0</v>
      </c>
      <c r="N899" s="2">
        <v>0</v>
      </c>
      <c r="O899" s="2">
        <v>0.1</v>
      </c>
      <c r="P899" s="8">
        <v>0.5</v>
      </c>
      <c r="Q899" s="12">
        <f t="shared" ref="Q899:Q962" si="83">SUMPRODUCT($U$5:$Y$5,L899:P899)</f>
        <v>-6.3364879972792549E-5</v>
      </c>
      <c r="R899" s="3">
        <f t="shared" ref="R899:R962" si="84">POWER(L899,2)*$V$9+POWER(M899,2)*$W$10+POWER(N899,2)*$X$11+POWER(O899,2)*$Y$12+POWER(P899,2)*$Z$13+2*(L899*M899*$V$10+N899*O899*$X$12+N899*P899*$X$13+$O$3*P899*$Y$13+L899*N899*$V$11+L899*O899*$V$12+L899*P899*$V$13+M899*N899*$W$11+M899*O899*$W$12+M899*P899*$W$13)</f>
        <v>1.9922528639240006E-4</v>
      </c>
      <c r="S899" s="14">
        <f t="shared" si="82"/>
        <v>1.41147187854523E-2</v>
      </c>
    </row>
    <row r="900" spans="12:19" x14ac:dyDescent="0.35">
      <c r="L900" s="2">
        <v>0.3</v>
      </c>
      <c r="M900" s="2">
        <v>0.1</v>
      </c>
      <c r="N900" s="2">
        <v>0</v>
      </c>
      <c r="O900" s="2">
        <v>0.1</v>
      </c>
      <c r="P900" s="8">
        <v>0.5</v>
      </c>
      <c r="Q900" s="12">
        <f t="shared" si="83"/>
        <v>3.6891308776626334E-5</v>
      </c>
      <c r="R900" s="3">
        <f t="shared" si="84"/>
        <v>1.392953180936748E-4</v>
      </c>
      <c r="S900" s="14">
        <f t="shared" ref="S900:S963" si="85">SQRT(R900)</f>
        <v>1.1802343754258085E-2</v>
      </c>
    </row>
    <row r="901" spans="12:19" x14ac:dyDescent="0.35">
      <c r="L901" s="2">
        <v>0.2</v>
      </c>
      <c r="M901" s="2">
        <v>0.2</v>
      </c>
      <c r="N901" s="2">
        <v>0</v>
      </c>
      <c r="O901" s="2">
        <v>0.1</v>
      </c>
      <c r="P901" s="8">
        <v>0.5</v>
      </c>
      <c r="Q901" s="12">
        <f t="shared" si="83"/>
        <v>1.3714749752604508E-4</v>
      </c>
      <c r="R901" s="3">
        <f t="shared" si="84"/>
        <v>1.0393332987608007E-4</v>
      </c>
      <c r="S901" s="14">
        <f t="shared" si="85"/>
        <v>1.0194769731390703E-2</v>
      </c>
    </row>
    <row r="902" spans="12:19" x14ac:dyDescent="0.35">
      <c r="L902" s="2">
        <v>0.1</v>
      </c>
      <c r="M902" s="2">
        <v>0.3</v>
      </c>
      <c r="N902" s="2">
        <v>0</v>
      </c>
      <c r="O902" s="2">
        <v>0.1</v>
      </c>
      <c r="P902" s="8">
        <v>0.5</v>
      </c>
      <c r="Q902" s="12">
        <f t="shared" si="83"/>
        <v>2.3740368627546391E-4</v>
      </c>
      <c r="R902" s="3">
        <f t="shared" si="84"/>
        <v>9.3139321739615802E-5</v>
      </c>
      <c r="S902" s="14">
        <f t="shared" si="85"/>
        <v>9.6508715533684206E-3</v>
      </c>
    </row>
    <row r="903" spans="12:19" x14ac:dyDescent="0.35">
      <c r="L903" s="2">
        <v>0</v>
      </c>
      <c r="M903" s="2">
        <v>0.4</v>
      </c>
      <c r="N903" s="2">
        <v>0</v>
      </c>
      <c r="O903" s="2">
        <v>0.1</v>
      </c>
      <c r="P903" s="8">
        <v>0.5</v>
      </c>
      <c r="Q903" s="12">
        <f t="shared" si="83"/>
        <v>3.3765987502488277E-4</v>
      </c>
      <c r="R903" s="3">
        <f t="shared" si="84"/>
        <v>1.0691329368428205E-4</v>
      </c>
      <c r="S903" s="14">
        <f t="shared" si="85"/>
        <v>1.0339888475427675E-2</v>
      </c>
    </row>
    <row r="904" spans="12:19" x14ac:dyDescent="0.35">
      <c r="L904" s="2">
        <v>0.3</v>
      </c>
      <c r="M904" s="2">
        <v>0</v>
      </c>
      <c r="N904" s="2">
        <v>0.1</v>
      </c>
      <c r="O904" s="2">
        <v>0.1</v>
      </c>
      <c r="P904" s="8">
        <v>0.5</v>
      </c>
      <c r="Q904" s="12">
        <f t="shared" si="83"/>
        <v>8.1385041959195945E-5</v>
      </c>
      <c r="R904" s="3">
        <f t="shared" si="84"/>
        <v>1.3497729139590948E-4</v>
      </c>
      <c r="S904" s="14">
        <f t="shared" si="85"/>
        <v>1.1617972774796361E-2</v>
      </c>
    </row>
    <row r="905" spans="12:19" x14ac:dyDescent="0.35">
      <c r="L905" s="2">
        <v>0.2</v>
      </c>
      <c r="M905" s="2">
        <v>0.1</v>
      </c>
      <c r="N905" s="2">
        <v>0.1</v>
      </c>
      <c r="O905" s="2">
        <v>0.1</v>
      </c>
      <c r="P905" s="8">
        <v>0.5</v>
      </c>
      <c r="Q905" s="12">
        <f t="shared" si="83"/>
        <v>1.8164123070861472E-4</v>
      </c>
      <c r="R905" s="3">
        <f t="shared" si="84"/>
        <v>9.5321611221123849E-5</v>
      </c>
      <c r="S905" s="14">
        <f t="shared" si="85"/>
        <v>9.7632787126622506E-3</v>
      </c>
    </row>
    <row r="906" spans="12:19" x14ac:dyDescent="0.35">
      <c r="L906" s="2">
        <v>0.1</v>
      </c>
      <c r="M906" s="2">
        <v>0.2</v>
      </c>
      <c r="N906" s="2">
        <v>0.1</v>
      </c>
      <c r="O906" s="2">
        <v>0.1</v>
      </c>
      <c r="P906" s="8">
        <v>0.5</v>
      </c>
      <c r="Q906" s="12">
        <f t="shared" si="83"/>
        <v>2.8189741945803355E-4</v>
      </c>
      <c r="R906" s="3">
        <f t="shared" si="84"/>
        <v>8.0233911127468722E-5</v>
      </c>
      <c r="S906" s="14">
        <f t="shared" si="85"/>
        <v>8.9573383952750562E-3</v>
      </c>
    </row>
    <row r="907" spans="12:19" x14ac:dyDescent="0.35">
      <c r="L907" s="2">
        <v>0</v>
      </c>
      <c r="M907" s="2">
        <v>0.3</v>
      </c>
      <c r="N907" s="2">
        <v>0.1</v>
      </c>
      <c r="O907" s="2">
        <v>0.1</v>
      </c>
      <c r="P907" s="8">
        <v>0.5</v>
      </c>
      <c r="Q907" s="12">
        <f t="shared" si="83"/>
        <v>3.8215360820745238E-4</v>
      </c>
      <c r="R907" s="3">
        <f t="shared" si="84"/>
        <v>8.9714191114944049E-5</v>
      </c>
      <c r="S907" s="14">
        <f t="shared" si="85"/>
        <v>9.4717575515288633E-3</v>
      </c>
    </row>
    <row r="908" spans="12:19" x14ac:dyDescent="0.35">
      <c r="L908" s="2">
        <v>0.2</v>
      </c>
      <c r="M908" s="2">
        <v>0</v>
      </c>
      <c r="N908" s="2">
        <v>0.2</v>
      </c>
      <c r="O908" s="2">
        <v>0.1</v>
      </c>
      <c r="P908" s="8">
        <v>0.5</v>
      </c>
      <c r="Q908" s="12">
        <f t="shared" si="83"/>
        <v>2.2613496389118436E-4</v>
      </c>
      <c r="R908" s="3">
        <f t="shared" si="84"/>
        <v>1.0090842653610844E-4</v>
      </c>
      <c r="S908" s="14">
        <f t="shared" si="85"/>
        <v>1.0045318637858553E-2</v>
      </c>
    </row>
    <row r="909" spans="12:19" x14ac:dyDescent="0.35">
      <c r="L909" s="2">
        <v>0.1</v>
      </c>
      <c r="M909" s="2">
        <v>0.1</v>
      </c>
      <c r="N909" s="2">
        <v>0.2</v>
      </c>
      <c r="O909" s="2">
        <v>0.1</v>
      </c>
      <c r="P909" s="8">
        <v>0.5</v>
      </c>
      <c r="Q909" s="12">
        <f t="shared" si="83"/>
        <v>3.2639115264060316E-4</v>
      </c>
      <c r="R909" s="3">
        <f t="shared" si="84"/>
        <v>8.1527034485262418E-5</v>
      </c>
      <c r="S909" s="14">
        <f t="shared" si="85"/>
        <v>9.0292322201426644E-3</v>
      </c>
    </row>
    <row r="910" spans="12:19" x14ac:dyDescent="0.35">
      <c r="L910" s="2">
        <v>0</v>
      </c>
      <c r="M910" s="2">
        <v>0.2</v>
      </c>
      <c r="N910" s="2">
        <v>0.2</v>
      </c>
      <c r="O910" s="2">
        <v>0.1</v>
      </c>
      <c r="P910" s="8">
        <v>0.5</v>
      </c>
      <c r="Q910" s="12">
        <f t="shared" si="83"/>
        <v>4.2664734139002199E-4</v>
      </c>
      <c r="R910" s="3">
        <f t="shared" si="84"/>
        <v>8.6713622515546877E-5</v>
      </c>
      <c r="S910" s="14">
        <f t="shared" si="85"/>
        <v>9.3120149546457916E-3</v>
      </c>
    </row>
    <row r="911" spans="12:19" x14ac:dyDescent="0.35">
      <c r="L911" s="2">
        <v>0.1</v>
      </c>
      <c r="M911" s="2">
        <v>0</v>
      </c>
      <c r="N911" s="2">
        <v>0.3</v>
      </c>
      <c r="O911" s="2">
        <v>0.1</v>
      </c>
      <c r="P911" s="8">
        <v>0.5</v>
      </c>
      <c r="Q911" s="12">
        <f t="shared" si="83"/>
        <v>3.7088488582317277E-4</v>
      </c>
      <c r="R911" s="3">
        <f t="shared" si="84"/>
        <v>9.7018691812996916E-5</v>
      </c>
      <c r="S911" s="14">
        <f t="shared" si="85"/>
        <v>9.8498066891181627E-3</v>
      </c>
    </row>
    <row r="912" spans="12:19" x14ac:dyDescent="0.35">
      <c r="L912" s="2">
        <v>0</v>
      </c>
      <c r="M912" s="2">
        <v>0.1</v>
      </c>
      <c r="N912" s="2">
        <v>0.3</v>
      </c>
      <c r="O912" s="2">
        <v>0.1</v>
      </c>
      <c r="P912" s="8">
        <v>0.5</v>
      </c>
      <c r="Q912" s="12">
        <f t="shared" si="83"/>
        <v>4.711410745725916E-4</v>
      </c>
      <c r="R912" s="3">
        <f t="shared" si="84"/>
        <v>9.7911587886090494E-5</v>
      </c>
      <c r="S912" s="14">
        <f t="shared" si="85"/>
        <v>9.895028442914679E-3</v>
      </c>
    </row>
    <row r="913" spans="12:19" x14ac:dyDescent="0.35">
      <c r="L913" s="2">
        <v>0</v>
      </c>
      <c r="M913" s="2">
        <v>0</v>
      </c>
      <c r="N913" s="2">
        <v>0.4</v>
      </c>
      <c r="O913" s="2">
        <v>0.1</v>
      </c>
      <c r="P913" s="8">
        <v>0.5</v>
      </c>
      <c r="Q913" s="12">
        <f t="shared" si="83"/>
        <v>5.1563480775516121E-4</v>
      </c>
      <c r="R913" s="3">
        <f t="shared" si="84"/>
        <v>1.2330808722657495E-4</v>
      </c>
      <c r="S913" s="14">
        <f t="shared" si="85"/>
        <v>1.1104417464530725E-2</v>
      </c>
    </row>
    <row r="914" spans="12:19" x14ac:dyDescent="0.35">
      <c r="L914" s="2">
        <v>0.3</v>
      </c>
      <c r="M914" s="2">
        <v>0</v>
      </c>
      <c r="N914" s="2">
        <v>0</v>
      </c>
      <c r="O914" s="2">
        <v>0.2</v>
      </c>
      <c r="P914" s="8">
        <v>0.5</v>
      </c>
      <c r="Q914" s="12">
        <f t="shared" si="83"/>
        <v>7.9186913891138733E-5</v>
      </c>
      <c r="R914" s="3">
        <f t="shared" si="84"/>
        <v>1.3684126389146024E-4</v>
      </c>
      <c r="S914" s="14">
        <f t="shared" si="85"/>
        <v>1.1697917074909542E-2</v>
      </c>
    </row>
    <row r="915" spans="12:19" x14ac:dyDescent="0.35">
      <c r="L915" s="2">
        <v>0.2</v>
      </c>
      <c r="M915" s="2">
        <v>0.1</v>
      </c>
      <c r="N915" s="2">
        <v>0</v>
      </c>
      <c r="O915" s="2">
        <v>0.2</v>
      </c>
      <c r="P915" s="8">
        <v>0.5</v>
      </c>
      <c r="Q915" s="12">
        <f t="shared" si="83"/>
        <v>1.7944310264055751E-4</v>
      </c>
      <c r="R915" s="3">
        <f t="shared" si="84"/>
        <v>9.5847089610227705E-5</v>
      </c>
      <c r="S915" s="14">
        <f t="shared" si="85"/>
        <v>9.7901526857464127E-3</v>
      </c>
    </row>
    <row r="916" spans="12:19" x14ac:dyDescent="0.35">
      <c r="L916" s="2">
        <v>0.1</v>
      </c>
      <c r="M916" s="2">
        <v>0.2</v>
      </c>
      <c r="N916" s="2">
        <v>0</v>
      </c>
      <c r="O916" s="2">
        <v>0.2</v>
      </c>
      <c r="P916" s="8">
        <v>0.5</v>
      </c>
      <c r="Q916" s="12">
        <f t="shared" si="83"/>
        <v>2.7969929138997634E-4</v>
      </c>
      <c r="R916" s="3">
        <f t="shared" si="84"/>
        <v>7.9420895410125598E-5</v>
      </c>
      <c r="S916" s="14">
        <f t="shared" si="85"/>
        <v>8.9118401809124472E-3</v>
      </c>
    </row>
    <row r="917" spans="12:19" x14ac:dyDescent="0.35">
      <c r="L917" s="2">
        <v>0</v>
      </c>
      <c r="M917" s="2">
        <v>0.3</v>
      </c>
      <c r="N917" s="2">
        <v>0</v>
      </c>
      <c r="O917" s="2">
        <v>0.2</v>
      </c>
      <c r="P917" s="8">
        <v>0.5</v>
      </c>
      <c r="Q917" s="12">
        <f t="shared" si="83"/>
        <v>3.7995548013939511E-4</v>
      </c>
      <c r="R917" s="3">
        <f t="shared" si="84"/>
        <v>8.7562681291153985E-5</v>
      </c>
      <c r="S917" s="14">
        <f t="shared" si="85"/>
        <v>9.3574933230622173E-3</v>
      </c>
    </row>
    <row r="918" spans="12:19" x14ac:dyDescent="0.35">
      <c r="L918" s="2">
        <v>0.2</v>
      </c>
      <c r="M918" s="2">
        <v>0</v>
      </c>
      <c r="N918" s="2">
        <v>0.1</v>
      </c>
      <c r="O918" s="2">
        <v>0.2</v>
      </c>
      <c r="P918" s="8">
        <v>0.5</v>
      </c>
      <c r="Q918" s="12">
        <f t="shared" si="83"/>
        <v>2.2393683582312712E-4</v>
      </c>
      <c r="R918" s="3">
        <f t="shared" si="84"/>
        <v>9.3716865539568439E-5</v>
      </c>
      <c r="S918" s="14">
        <f t="shared" si="85"/>
        <v>9.6807471581261961E-3</v>
      </c>
    </row>
    <row r="919" spans="12:19" x14ac:dyDescent="0.35">
      <c r="L919" s="2">
        <v>0.1</v>
      </c>
      <c r="M919" s="2">
        <v>0.1</v>
      </c>
      <c r="N919" s="2">
        <v>0.1</v>
      </c>
      <c r="O919" s="2">
        <v>0.2</v>
      </c>
      <c r="P919" s="8">
        <v>0.5</v>
      </c>
      <c r="Q919" s="12">
        <f t="shared" si="83"/>
        <v>3.2419302457254589E-4</v>
      </c>
      <c r="R919" s="3">
        <f t="shared" si="84"/>
        <v>7.2996979382275451E-5</v>
      </c>
      <c r="S919" s="14">
        <f t="shared" si="85"/>
        <v>8.5438269752070375E-3</v>
      </c>
    </row>
    <row r="920" spans="12:19" x14ac:dyDescent="0.35">
      <c r="L920" s="2">
        <v>0</v>
      </c>
      <c r="M920" s="2">
        <v>0.2</v>
      </c>
      <c r="N920" s="2">
        <v>0.1</v>
      </c>
      <c r="O920" s="2">
        <v>0.2</v>
      </c>
      <c r="P920" s="8">
        <v>0.5</v>
      </c>
      <c r="Q920" s="12">
        <f t="shared" si="83"/>
        <v>4.2444921332196472E-4</v>
      </c>
      <c r="R920" s="3">
        <f t="shared" si="84"/>
        <v>7.6845073306112971E-5</v>
      </c>
      <c r="S920" s="14">
        <f t="shared" si="85"/>
        <v>8.7661321748028053E-3</v>
      </c>
    </row>
    <row r="921" spans="12:19" x14ac:dyDescent="0.35">
      <c r="L921" s="2">
        <v>0.1</v>
      </c>
      <c r="M921" s="2">
        <v>0</v>
      </c>
      <c r="N921" s="2">
        <v>0.2</v>
      </c>
      <c r="O921" s="2">
        <v>0.2</v>
      </c>
      <c r="P921" s="8">
        <v>0.5</v>
      </c>
      <c r="Q921" s="12">
        <f t="shared" si="83"/>
        <v>3.6868675775511556E-4</v>
      </c>
      <c r="R921" s="3">
        <f t="shared" si="84"/>
        <v>8.077159732436612E-5</v>
      </c>
      <c r="S921" s="14">
        <f t="shared" si="85"/>
        <v>8.987302004737914E-3</v>
      </c>
    </row>
    <row r="922" spans="12:19" x14ac:dyDescent="0.35">
      <c r="L922" s="2">
        <v>0</v>
      </c>
      <c r="M922" s="2">
        <v>0.1</v>
      </c>
      <c r="N922" s="2">
        <v>0.2</v>
      </c>
      <c r="O922" s="2">
        <v>0.2</v>
      </c>
      <c r="P922" s="8">
        <v>0.5</v>
      </c>
      <c r="Q922" s="12">
        <f t="shared" si="83"/>
        <v>4.6894294650453433E-4</v>
      </c>
      <c r="R922" s="3">
        <f t="shared" si="84"/>
        <v>8.0325999291012772E-5</v>
      </c>
      <c r="S922" s="14">
        <f t="shared" si="85"/>
        <v>8.9624772965409948E-3</v>
      </c>
    </row>
    <row r="923" spans="12:19" x14ac:dyDescent="0.35">
      <c r="L923" s="2">
        <v>0</v>
      </c>
      <c r="M923" s="2">
        <v>0</v>
      </c>
      <c r="N923" s="2">
        <v>0.3</v>
      </c>
      <c r="O923" s="2">
        <v>0.2</v>
      </c>
      <c r="P923" s="8">
        <v>0.5</v>
      </c>
      <c r="Q923" s="12">
        <f t="shared" si="83"/>
        <v>5.1343667968710394E-4</v>
      </c>
      <c r="R923" s="3">
        <f t="shared" si="84"/>
        <v>9.8005459245853336E-5</v>
      </c>
      <c r="S923" s="14">
        <f t="shared" si="85"/>
        <v>9.8997706663262325E-3</v>
      </c>
    </row>
    <row r="924" spans="12:19" x14ac:dyDescent="0.35">
      <c r="L924" s="2">
        <v>0.2</v>
      </c>
      <c r="M924" s="2">
        <v>0</v>
      </c>
      <c r="N924" s="2">
        <v>0</v>
      </c>
      <c r="O924" s="2">
        <v>0.3</v>
      </c>
      <c r="P924" s="8">
        <v>0.5</v>
      </c>
      <c r="Q924" s="12">
        <f t="shared" si="83"/>
        <v>2.2173870775506991E-4</v>
      </c>
      <c r="R924" s="3">
        <f t="shared" si="84"/>
        <v>9.8235188854673609E-5</v>
      </c>
      <c r="S924" s="14">
        <f t="shared" si="85"/>
        <v>9.9113666491898889E-3</v>
      </c>
    </row>
    <row r="925" spans="12:19" x14ac:dyDescent="0.35">
      <c r="L925" s="2">
        <v>0.1</v>
      </c>
      <c r="M925" s="2">
        <v>0.1</v>
      </c>
      <c r="N925" s="2">
        <v>0</v>
      </c>
      <c r="O925" s="2">
        <v>0.3</v>
      </c>
      <c r="P925" s="8">
        <v>0.5</v>
      </c>
      <c r="Q925" s="12">
        <f t="shared" si="83"/>
        <v>3.2199489650448868E-4</v>
      </c>
      <c r="R925" s="3">
        <f t="shared" si="84"/>
        <v>7.6176808590933695E-5</v>
      </c>
      <c r="S925" s="14">
        <f t="shared" si="85"/>
        <v>8.7279326642071258E-3</v>
      </c>
    </row>
    <row r="926" spans="12:19" x14ac:dyDescent="0.35">
      <c r="L926" s="2">
        <v>0</v>
      </c>
      <c r="M926" s="2">
        <v>0.2</v>
      </c>
      <c r="N926" s="2">
        <v>0</v>
      </c>
      <c r="O926" s="2">
        <v>0.3</v>
      </c>
      <c r="P926" s="8">
        <v>0.5</v>
      </c>
      <c r="Q926" s="12">
        <f t="shared" si="83"/>
        <v>4.2225108525390751E-4</v>
      </c>
      <c r="R926" s="3">
        <f t="shared" si="84"/>
        <v>7.8686408408324261E-5</v>
      </c>
      <c r="S926" s="14">
        <f t="shared" si="85"/>
        <v>8.8705359707474413E-3</v>
      </c>
    </row>
    <row r="927" spans="12:19" x14ac:dyDescent="0.35">
      <c r="L927" s="2">
        <v>0.1</v>
      </c>
      <c r="M927" s="2">
        <v>0</v>
      </c>
      <c r="N927" s="2">
        <v>0.1</v>
      </c>
      <c r="O927" s="2">
        <v>0.3</v>
      </c>
      <c r="P927" s="8">
        <v>0.5</v>
      </c>
      <c r="Q927" s="12">
        <f t="shared" si="83"/>
        <v>3.6648862968705835E-4</v>
      </c>
      <c r="R927" s="3">
        <f t="shared" si="84"/>
        <v>7.6234387147380535E-5</v>
      </c>
      <c r="S927" s="14">
        <f t="shared" si="85"/>
        <v>8.7312305631783958E-3</v>
      </c>
    </row>
    <row r="928" spans="12:19" x14ac:dyDescent="0.35">
      <c r="L928" s="2">
        <v>0</v>
      </c>
      <c r="M928" s="2">
        <v>0.1</v>
      </c>
      <c r="N928" s="2">
        <v>0.1</v>
      </c>
      <c r="O928" s="2">
        <v>0.3</v>
      </c>
      <c r="P928" s="8">
        <v>0.5</v>
      </c>
      <c r="Q928" s="12">
        <f t="shared" si="83"/>
        <v>4.6674481843647718E-4</v>
      </c>
      <c r="R928" s="3">
        <f t="shared" si="84"/>
        <v>7.4450295007580221E-5</v>
      </c>
      <c r="S928" s="14">
        <f t="shared" si="85"/>
        <v>8.6284584374950908E-3</v>
      </c>
    </row>
    <row r="929" spans="12:19" x14ac:dyDescent="0.35">
      <c r="L929" s="2">
        <v>0</v>
      </c>
      <c r="M929" s="2">
        <v>0</v>
      </c>
      <c r="N929" s="2">
        <v>0.2</v>
      </c>
      <c r="O929" s="2">
        <v>0.3</v>
      </c>
      <c r="P929" s="8">
        <v>0.5</v>
      </c>
      <c r="Q929" s="12">
        <f t="shared" si="83"/>
        <v>5.1123855161904679E-4</v>
      </c>
      <c r="R929" s="3">
        <f t="shared" si="84"/>
        <v>8.4412715576776982E-5</v>
      </c>
      <c r="S929" s="14">
        <f t="shared" si="85"/>
        <v>9.1876392820341487E-3</v>
      </c>
    </row>
    <row r="930" spans="12:19" x14ac:dyDescent="0.35">
      <c r="L930" s="2">
        <v>0.1</v>
      </c>
      <c r="M930" s="2">
        <v>0</v>
      </c>
      <c r="N930" s="2">
        <v>0</v>
      </c>
      <c r="O930" s="2">
        <v>0.4</v>
      </c>
      <c r="P930" s="8">
        <v>0.5</v>
      </c>
      <c r="Q930" s="12">
        <f t="shared" si="83"/>
        <v>3.6429050161900108E-4</v>
      </c>
      <c r="R930" s="3">
        <f t="shared" si="84"/>
        <v>8.3407061282040148E-5</v>
      </c>
      <c r="S930" s="14">
        <f t="shared" si="85"/>
        <v>9.1327466450154063E-3</v>
      </c>
    </row>
    <row r="931" spans="12:19" x14ac:dyDescent="0.35">
      <c r="L931" s="2">
        <v>0</v>
      </c>
      <c r="M931" s="2">
        <v>0.1</v>
      </c>
      <c r="N931" s="2">
        <v>0</v>
      </c>
      <c r="O931" s="2">
        <v>0.4</v>
      </c>
      <c r="P931" s="8">
        <v>0.5</v>
      </c>
      <c r="Q931" s="12">
        <f t="shared" si="83"/>
        <v>4.6454669036841991E-4</v>
      </c>
      <c r="R931" s="3">
        <f t="shared" si="84"/>
        <v>8.0284475035792893E-5</v>
      </c>
      <c r="S931" s="14">
        <f t="shared" si="85"/>
        <v>8.9601604358288643E-3</v>
      </c>
    </row>
    <row r="932" spans="12:19" x14ac:dyDescent="0.35">
      <c r="L932" s="2">
        <v>0</v>
      </c>
      <c r="M932" s="2">
        <v>0</v>
      </c>
      <c r="N932" s="2">
        <v>0.1</v>
      </c>
      <c r="O932" s="2">
        <v>0.4</v>
      </c>
      <c r="P932" s="8">
        <v>0.5</v>
      </c>
      <c r="Q932" s="12">
        <f t="shared" si="83"/>
        <v>5.0904042355098952E-4</v>
      </c>
      <c r="R932" s="3">
        <f t="shared" si="84"/>
        <v>8.2529856219345799E-5</v>
      </c>
      <c r="S932" s="14">
        <f t="shared" si="85"/>
        <v>9.0845944444067402E-3</v>
      </c>
    </row>
    <row r="933" spans="12:19" x14ac:dyDescent="0.35">
      <c r="L933" s="2">
        <v>0</v>
      </c>
      <c r="M933" s="2">
        <v>0</v>
      </c>
      <c r="N933" s="2">
        <v>0</v>
      </c>
      <c r="O933" s="2">
        <v>0.5</v>
      </c>
      <c r="P933" s="8">
        <v>0.5</v>
      </c>
      <c r="Q933" s="12">
        <f t="shared" si="83"/>
        <v>5.0684229548293236E-4</v>
      </c>
      <c r="R933" s="3">
        <f t="shared" si="84"/>
        <v>9.2356881173559827E-5</v>
      </c>
      <c r="S933" s="14">
        <f t="shared" si="85"/>
        <v>9.6102487571113285E-3</v>
      </c>
    </row>
    <row r="934" spans="12:19" x14ac:dyDescent="0.35">
      <c r="L934" s="2">
        <v>0.4</v>
      </c>
      <c r="M934" s="2">
        <v>0</v>
      </c>
      <c r="N934" s="2">
        <v>0</v>
      </c>
      <c r="O934" s="2">
        <v>0</v>
      </c>
      <c r="P934" s="8">
        <v>0.6</v>
      </c>
      <c r="Q934" s="12">
        <f t="shared" si="83"/>
        <v>-1.55232841319675E-5</v>
      </c>
      <c r="R934" s="3">
        <f t="shared" si="84"/>
        <v>2.0101448437002774E-4</v>
      </c>
      <c r="S934" s="14">
        <f t="shared" si="85"/>
        <v>1.4177957693900336E-2</v>
      </c>
    </row>
    <row r="935" spans="12:19" x14ac:dyDescent="0.35">
      <c r="L935" s="2">
        <v>0.3</v>
      </c>
      <c r="M935" s="2">
        <v>0.1</v>
      </c>
      <c r="N935" s="2">
        <v>0</v>
      </c>
      <c r="O935" s="2">
        <v>0</v>
      </c>
      <c r="P935" s="8">
        <v>0.6</v>
      </c>
      <c r="Q935" s="12">
        <f t="shared" si="83"/>
        <v>8.4732904617451383E-5</v>
      </c>
      <c r="R935" s="3">
        <f t="shared" si="84"/>
        <v>1.4162683921565614E-4</v>
      </c>
      <c r="S935" s="14">
        <f t="shared" si="85"/>
        <v>1.1900707509037274E-2</v>
      </c>
    </row>
    <row r="936" spans="12:19" x14ac:dyDescent="0.35">
      <c r="L936" s="2">
        <v>0.2</v>
      </c>
      <c r="M936" s="2">
        <v>0.2</v>
      </c>
      <c r="N936" s="2">
        <v>0</v>
      </c>
      <c r="O936" s="2">
        <v>0</v>
      </c>
      <c r="P936" s="8">
        <v>0.6</v>
      </c>
      <c r="Q936" s="12">
        <f t="shared" si="83"/>
        <v>1.849890933668701E-4</v>
      </c>
      <c r="R936" s="3">
        <f t="shared" si="84"/>
        <v>1.0680717414241508E-4</v>
      </c>
      <c r="S936" s="14">
        <f t="shared" si="85"/>
        <v>1.0334755640188842E-2</v>
      </c>
    </row>
    <row r="937" spans="12:19" x14ac:dyDescent="0.35">
      <c r="L937" s="2">
        <v>0.1</v>
      </c>
      <c r="M937" s="2">
        <v>0.3</v>
      </c>
      <c r="N937" s="2">
        <v>0</v>
      </c>
      <c r="O937" s="2">
        <v>0</v>
      </c>
      <c r="P937" s="8">
        <v>0.6</v>
      </c>
      <c r="Q937" s="12">
        <f t="shared" si="83"/>
        <v>2.8524528211628893E-4</v>
      </c>
      <c r="R937" s="3">
        <f t="shared" si="84"/>
        <v>9.6555489150304489E-5</v>
      </c>
      <c r="S937" s="14">
        <f t="shared" si="85"/>
        <v>9.8262652696894208E-3</v>
      </c>
    </row>
    <row r="938" spans="12:19" x14ac:dyDescent="0.35">
      <c r="L938" s="2">
        <v>0</v>
      </c>
      <c r="M938" s="2">
        <v>0.4</v>
      </c>
      <c r="N938" s="2">
        <v>0</v>
      </c>
      <c r="O938" s="2">
        <v>0</v>
      </c>
      <c r="P938" s="8">
        <v>0.6</v>
      </c>
      <c r="Q938" s="12">
        <f t="shared" si="83"/>
        <v>3.8550147086570776E-4</v>
      </c>
      <c r="R938" s="3">
        <f t="shared" si="84"/>
        <v>1.1087178423932442E-4</v>
      </c>
      <c r="S938" s="14">
        <f t="shared" si="85"/>
        <v>1.0529567143967715E-2</v>
      </c>
    </row>
    <row r="939" spans="12:19" x14ac:dyDescent="0.35">
      <c r="L939" s="2">
        <v>0.3</v>
      </c>
      <c r="M939" s="2">
        <v>0</v>
      </c>
      <c r="N939" s="2">
        <v>0.1</v>
      </c>
      <c r="O939" s="2">
        <v>0</v>
      </c>
      <c r="P939" s="8">
        <v>0.6</v>
      </c>
      <c r="Q939" s="12">
        <f t="shared" si="83"/>
        <v>1.2922663780002099E-4</v>
      </c>
      <c r="R939" s="3">
        <f t="shared" si="84"/>
        <v>1.3700741419497072E-4</v>
      </c>
      <c r="S939" s="14">
        <f t="shared" si="85"/>
        <v>1.1705016625147131E-2</v>
      </c>
    </row>
    <row r="940" spans="12:19" x14ac:dyDescent="0.35">
      <c r="L940" s="2">
        <v>0.2</v>
      </c>
      <c r="M940" s="2">
        <v>0.1</v>
      </c>
      <c r="N940" s="2">
        <v>0.1</v>
      </c>
      <c r="O940" s="2">
        <v>0</v>
      </c>
      <c r="P940" s="8">
        <v>0.6</v>
      </c>
      <c r="Q940" s="12">
        <f t="shared" si="83"/>
        <v>2.2948282654943974E-4</v>
      </c>
      <c r="R940" s="3">
        <f t="shared" si="84"/>
        <v>9.7894057164538763E-5</v>
      </c>
      <c r="S940" s="14">
        <f t="shared" si="85"/>
        <v>9.8941425684360724E-3</v>
      </c>
    </row>
    <row r="941" spans="12:19" x14ac:dyDescent="0.35">
      <c r="L941" s="2">
        <v>0.1</v>
      </c>
      <c r="M941" s="2">
        <v>0.2</v>
      </c>
      <c r="N941" s="2">
        <v>0.1</v>
      </c>
      <c r="O941" s="2">
        <v>0</v>
      </c>
      <c r="P941" s="8">
        <v>0.6</v>
      </c>
      <c r="Q941" s="12">
        <f t="shared" si="83"/>
        <v>3.2973901529885854E-4</v>
      </c>
      <c r="R941" s="3">
        <f t="shared" si="84"/>
        <v>8.3348680215237315E-5</v>
      </c>
      <c r="S941" s="14">
        <f t="shared" si="85"/>
        <v>9.1295498363959497E-3</v>
      </c>
    </row>
    <row r="942" spans="12:19" x14ac:dyDescent="0.35">
      <c r="L942" s="2">
        <v>0</v>
      </c>
      <c r="M942" s="2">
        <v>0.3</v>
      </c>
      <c r="N942" s="2">
        <v>0.1</v>
      </c>
      <c r="O942" s="2">
        <v>0</v>
      </c>
      <c r="P942" s="8">
        <v>0.6</v>
      </c>
      <c r="Q942" s="12">
        <f t="shared" si="83"/>
        <v>4.2999520404827737E-4</v>
      </c>
      <c r="R942" s="3">
        <f t="shared" si="84"/>
        <v>9.3371283347066321E-5</v>
      </c>
      <c r="S942" s="14">
        <f t="shared" si="85"/>
        <v>9.6628817309882421E-3</v>
      </c>
    </row>
    <row r="943" spans="12:19" x14ac:dyDescent="0.35">
      <c r="L943" s="2">
        <v>0.2</v>
      </c>
      <c r="M943" s="2">
        <v>0</v>
      </c>
      <c r="N943" s="2">
        <v>0.2</v>
      </c>
      <c r="O943" s="2">
        <v>0</v>
      </c>
      <c r="P943" s="8">
        <v>0.6</v>
      </c>
      <c r="Q943" s="12">
        <f t="shared" si="83"/>
        <v>2.7397655973200938E-4</v>
      </c>
      <c r="R943" s="3">
        <f t="shared" si="84"/>
        <v>1.0317947415660329E-4</v>
      </c>
      <c r="S943" s="14">
        <f t="shared" si="85"/>
        <v>1.0157729773753744E-2</v>
      </c>
    </row>
    <row r="944" spans="12:19" x14ac:dyDescent="0.35">
      <c r="L944" s="2">
        <v>0.1</v>
      </c>
      <c r="M944" s="2">
        <v>0.1</v>
      </c>
      <c r="N944" s="2">
        <v>0.2</v>
      </c>
      <c r="O944" s="2">
        <v>0</v>
      </c>
      <c r="P944" s="8">
        <v>0.6</v>
      </c>
      <c r="Q944" s="12">
        <f t="shared" si="83"/>
        <v>3.7423274848142815E-4</v>
      </c>
      <c r="R944" s="3">
        <f t="shared" si="84"/>
        <v>8.434040525011093E-5</v>
      </c>
      <c r="S944" s="14">
        <f t="shared" si="85"/>
        <v>9.1837032427072099E-3</v>
      </c>
    </row>
    <row r="945" spans="12:19" x14ac:dyDescent="0.35">
      <c r="L945" s="2">
        <v>0</v>
      </c>
      <c r="M945" s="2">
        <v>0.2</v>
      </c>
      <c r="N945" s="2">
        <v>0.2</v>
      </c>
      <c r="O945" s="2">
        <v>0</v>
      </c>
      <c r="P945" s="8">
        <v>0.6</v>
      </c>
      <c r="Q945" s="12">
        <f t="shared" si="83"/>
        <v>4.7448893723084698E-4</v>
      </c>
      <c r="R945" s="3">
        <f t="shared" si="84"/>
        <v>9.0069316424749054E-5</v>
      </c>
      <c r="S945" s="14">
        <f t="shared" si="85"/>
        <v>9.4904855737074408E-3</v>
      </c>
    </row>
    <row r="946" spans="12:19" x14ac:dyDescent="0.35">
      <c r="L946" s="2">
        <v>0.1</v>
      </c>
      <c r="M946" s="2">
        <v>0</v>
      </c>
      <c r="N946" s="2">
        <v>0.3</v>
      </c>
      <c r="O946" s="2">
        <v>0</v>
      </c>
      <c r="P946" s="8">
        <v>0.6</v>
      </c>
      <c r="Q946" s="12">
        <f t="shared" si="83"/>
        <v>4.1872648166399776E-4</v>
      </c>
      <c r="R946" s="3">
        <f t="shared" si="84"/>
        <v>9.9530664254925347E-5</v>
      </c>
      <c r="S946" s="14">
        <f t="shared" si="85"/>
        <v>9.9765056134362672E-3</v>
      </c>
    </row>
    <row r="947" spans="12:19" x14ac:dyDescent="0.35">
      <c r="L947" s="2">
        <v>0</v>
      </c>
      <c r="M947" s="2">
        <v>0.1</v>
      </c>
      <c r="N947" s="2">
        <v>0.3</v>
      </c>
      <c r="O947" s="2">
        <v>0</v>
      </c>
      <c r="P947" s="8">
        <v>0.6</v>
      </c>
      <c r="Q947" s="12">
        <f t="shared" si="83"/>
        <v>5.1898267041341659E-4</v>
      </c>
      <c r="R947" s="3">
        <f t="shared" si="84"/>
        <v>1.0096588347237259E-4</v>
      </c>
      <c r="S947" s="14">
        <f t="shared" si="85"/>
        <v>1.0048178117070407E-2</v>
      </c>
    </row>
    <row r="948" spans="12:19" x14ac:dyDescent="0.35">
      <c r="L948" s="2">
        <v>0</v>
      </c>
      <c r="M948" s="2">
        <v>0</v>
      </c>
      <c r="N948" s="2">
        <v>0.4</v>
      </c>
      <c r="O948" s="2">
        <v>0</v>
      </c>
      <c r="P948" s="8">
        <v>0.6</v>
      </c>
      <c r="Q948" s="12">
        <f t="shared" si="83"/>
        <v>5.634764035959862E-4</v>
      </c>
      <c r="R948" s="3">
        <f t="shared" si="84"/>
        <v>1.2606098448993697E-4</v>
      </c>
      <c r="S948" s="14">
        <f t="shared" si="85"/>
        <v>1.1227688296792753E-2</v>
      </c>
    </row>
    <row r="949" spans="12:19" x14ac:dyDescent="0.35">
      <c r="L949" s="2">
        <v>0.3</v>
      </c>
      <c r="M949" s="2">
        <v>0</v>
      </c>
      <c r="N949" s="2">
        <v>0</v>
      </c>
      <c r="O949" s="2">
        <v>0.1</v>
      </c>
      <c r="P949" s="8">
        <v>0.6</v>
      </c>
      <c r="Q949" s="12">
        <f t="shared" si="83"/>
        <v>1.2702850973196373E-4</v>
      </c>
      <c r="R949" s="3">
        <f t="shared" si="84"/>
        <v>1.352528416579439E-4</v>
      </c>
      <c r="S949" s="14">
        <f t="shared" si="85"/>
        <v>1.1629825521388698E-2</v>
      </c>
    </row>
    <row r="950" spans="12:19" x14ac:dyDescent="0.35">
      <c r="L950" s="2">
        <v>0.2</v>
      </c>
      <c r="M950" s="2">
        <v>0.1</v>
      </c>
      <c r="N950" s="2">
        <v>0</v>
      </c>
      <c r="O950" s="2">
        <v>0.1</v>
      </c>
      <c r="P950" s="8">
        <v>0.6</v>
      </c>
      <c r="Q950" s="12">
        <f t="shared" si="83"/>
        <v>2.2728469848138253E-4</v>
      </c>
      <c r="R950" s="3">
        <f t="shared" si="84"/>
        <v>9.4800990521065045E-5</v>
      </c>
      <c r="S950" s="14">
        <f t="shared" si="85"/>
        <v>9.7365800218077118E-3</v>
      </c>
    </row>
    <row r="951" spans="12:19" x14ac:dyDescent="0.35">
      <c r="L951" s="2">
        <v>0.1</v>
      </c>
      <c r="M951" s="2">
        <v>0.2</v>
      </c>
      <c r="N951" s="2">
        <v>0</v>
      </c>
      <c r="O951" s="2">
        <v>0.1</v>
      </c>
      <c r="P951" s="8">
        <v>0.6</v>
      </c>
      <c r="Q951" s="12">
        <f t="shared" si="83"/>
        <v>3.2754088723080139E-4</v>
      </c>
      <c r="R951" s="3">
        <f t="shared" si="84"/>
        <v>7.8917119465316644E-5</v>
      </c>
      <c r="S951" s="14">
        <f t="shared" si="85"/>
        <v>8.883530799480387E-3</v>
      </c>
    </row>
    <row r="952" spans="12:19" x14ac:dyDescent="0.35">
      <c r="L952" s="2">
        <v>0</v>
      </c>
      <c r="M952" s="2">
        <v>0.3</v>
      </c>
      <c r="N952" s="2">
        <v>0</v>
      </c>
      <c r="O952" s="2">
        <v>0.1</v>
      </c>
      <c r="P952" s="8">
        <v>0.6</v>
      </c>
      <c r="Q952" s="12">
        <f t="shared" si="83"/>
        <v>4.2779707598022016E-4</v>
      </c>
      <c r="R952" s="3">
        <f t="shared" si="84"/>
        <v>8.7601228490698696E-5</v>
      </c>
      <c r="S952" s="14">
        <f t="shared" si="85"/>
        <v>9.3595527933068839E-3</v>
      </c>
    </row>
    <row r="953" spans="12:19" x14ac:dyDescent="0.35">
      <c r="L953" s="2">
        <v>0.2</v>
      </c>
      <c r="M953" s="2">
        <v>0</v>
      </c>
      <c r="N953" s="2">
        <v>0.1</v>
      </c>
      <c r="O953" s="2">
        <v>0.1</v>
      </c>
      <c r="P953" s="8">
        <v>0.6</v>
      </c>
      <c r="Q953" s="12">
        <f t="shared" si="83"/>
        <v>2.7177843166395217E-4</v>
      </c>
      <c r="R953" s="3">
        <f t="shared" si="84"/>
        <v>9.2369368127485698E-5</v>
      </c>
      <c r="S953" s="14">
        <f t="shared" si="85"/>
        <v>9.6108984037646394E-3</v>
      </c>
    </row>
    <row r="954" spans="12:19" x14ac:dyDescent="0.35">
      <c r="L954" s="2">
        <v>0.1</v>
      </c>
      <c r="M954" s="2">
        <v>0.1</v>
      </c>
      <c r="N954" s="2">
        <v>0.1</v>
      </c>
      <c r="O954" s="2">
        <v>0.1</v>
      </c>
      <c r="P954" s="8">
        <v>0.6</v>
      </c>
      <c r="Q954" s="12">
        <f t="shared" si="83"/>
        <v>3.7203462041337094E-4</v>
      </c>
      <c r="R954" s="3">
        <f t="shared" si="84"/>
        <v>7.2191805114546403E-5</v>
      </c>
      <c r="S954" s="14">
        <f t="shared" si="85"/>
        <v>8.4965760818429912E-3</v>
      </c>
    </row>
    <row r="955" spans="12:19" x14ac:dyDescent="0.35">
      <c r="L955" s="2">
        <v>0</v>
      </c>
      <c r="M955" s="2">
        <v>0.2</v>
      </c>
      <c r="N955" s="2">
        <v>0.1</v>
      </c>
      <c r="O955" s="2">
        <v>0.1</v>
      </c>
      <c r="P955" s="8">
        <v>0.6</v>
      </c>
      <c r="Q955" s="12">
        <f t="shared" si="83"/>
        <v>4.7229080916278977E-4</v>
      </c>
      <c r="R955" s="3">
        <f t="shared" si="84"/>
        <v>7.6582222182737601E-5</v>
      </c>
      <c r="S955" s="14">
        <f t="shared" si="85"/>
        <v>8.7511269093036009E-3</v>
      </c>
    </row>
    <row r="956" spans="12:19" x14ac:dyDescent="0.35">
      <c r="L956" s="2">
        <v>0.1</v>
      </c>
      <c r="M956" s="2">
        <v>0</v>
      </c>
      <c r="N956" s="2">
        <v>0.2</v>
      </c>
      <c r="O956" s="2">
        <v>0.1</v>
      </c>
      <c r="P956" s="8">
        <v>0.6</v>
      </c>
      <c r="Q956" s="12">
        <f t="shared" si="83"/>
        <v>4.1652835359594061E-4</v>
      </c>
      <c r="R956" s="3">
        <f t="shared" si="84"/>
        <v>7.9665024733716991E-5</v>
      </c>
      <c r="S956" s="14">
        <f t="shared" si="85"/>
        <v>8.9255265801921734E-3</v>
      </c>
    </row>
    <row r="957" spans="12:19" x14ac:dyDescent="0.35">
      <c r="L957" s="2">
        <v>0</v>
      </c>
      <c r="M957" s="2">
        <v>0.1</v>
      </c>
      <c r="N957" s="2">
        <v>0.2</v>
      </c>
      <c r="O957" s="2">
        <v>0.1</v>
      </c>
      <c r="P957" s="8">
        <v>0.6</v>
      </c>
      <c r="Q957" s="12">
        <f t="shared" si="83"/>
        <v>5.1678454234535944E-4</v>
      </c>
      <c r="R957" s="3">
        <f t="shared" si="84"/>
        <v>7.9761749844717294E-5</v>
      </c>
      <c r="S957" s="14">
        <f t="shared" si="85"/>
        <v>8.9309433905224861E-3</v>
      </c>
    </row>
    <row r="958" spans="12:19" x14ac:dyDescent="0.35">
      <c r="L958" s="2">
        <v>0</v>
      </c>
      <c r="M958" s="2">
        <v>0</v>
      </c>
      <c r="N958" s="2">
        <v>0.3</v>
      </c>
      <c r="O958" s="2">
        <v>0.1</v>
      </c>
      <c r="P958" s="8">
        <v>0.6</v>
      </c>
      <c r="Q958" s="12">
        <f t="shared" si="83"/>
        <v>5.6127827552792905E-4</v>
      </c>
      <c r="R958" s="3">
        <f t="shared" si="84"/>
        <v>9.7139811476637804E-5</v>
      </c>
      <c r="S958" s="14">
        <f t="shared" si="85"/>
        <v>9.8559530983379686E-3</v>
      </c>
    </row>
    <row r="959" spans="12:19" x14ac:dyDescent="0.35">
      <c r="L959" s="2">
        <v>0.2</v>
      </c>
      <c r="M959" s="2">
        <v>0</v>
      </c>
      <c r="N959" s="2">
        <v>0</v>
      </c>
      <c r="O959" s="2">
        <v>0.2</v>
      </c>
      <c r="P959" s="8">
        <v>0.6</v>
      </c>
      <c r="Q959" s="12">
        <f t="shared" si="83"/>
        <v>2.695803035958949E-4</v>
      </c>
      <c r="R959" s="3">
        <f t="shared" si="84"/>
        <v>9.3269146410013336E-5</v>
      </c>
      <c r="S959" s="14">
        <f t="shared" si="85"/>
        <v>9.6575952705636476E-3</v>
      </c>
    </row>
    <row r="960" spans="12:19" x14ac:dyDescent="0.35">
      <c r="L960" s="2">
        <v>0.1</v>
      </c>
      <c r="M960" s="2">
        <v>0.1</v>
      </c>
      <c r="N960" s="2">
        <v>0</v>
      </c>
      <c r="O960" s="2">
        <v>0.2</v>
      </c>
      <c r="P960" s="8">
        <v>0.6</v>
      </c>
      <c r="Q960" s="12">
        <f t="shared" si="83"/>
        <v>3.6983649234531373E-4</v>
      </c>
      <c r="R960" s="3">
        <f t="shared" si="84"/>
        <v>7.17530892906271E-5</v>
      </c>
      <c r="S960" s="14">
        <f t="shared" si="85"/>
        <v>8.4707195261457622E-3</v>
      </c>
    </row>
    <row r="961" spans="12:19" x14ac:dyDescent="0.35">
      <c r="L961" s="2">
        <v>0</v>
      </c>
      <c r="M961" s="2">
        <v>0.2</v>
      </c>
      <c r="N961" s="2">
        <v>0</v>
      </c>
      <c r="O961" s="2">
        <v>0.2</v>
      </c>
      <c r="P961" s="8">
        <v>0.6</v>
      </c>
      <c r="Q961" s="12">
        <f t="shared" si="83"/>
        <v>4.7009268109473256E-4</v>
      </c>
      <c r="R961" s="3">
        <f t="shared" si="84"/>
        <v>7.4805012252371345E-5</v>
      </c>
      <c r="S961" s="14">
        <f t="shared" si="85"/>
        <v>8.6489890884641155E-3</v>
      </c>
    </row>
    <row r="962" spans="12:19" x14ac:dyDescent="0.35">
      <c r="L962" s="2">
        <v>0.1</v>
      </c>
      <c r="M962" s="2">
        <v>0</v>
      </c>
      <c r="N962" s="2">
        <v>0.1</v>
      </c>
      <c r="O962" s="2">
        <v>0.2</v>
      </c>
      <c r="P962" s="8">
        <v>0.6</v>
      </c>
      <c r="Q962" s="12">
        <f t="shared" si="83"/>
        <v>4.1433022552788334E-4</v>
      </c>
      <c r="R962" s="3">
        <f t="shared" si="84"/>
        <v>7.1509269524153846E-5</v>
      </c>
      <c r="S962" s="14">
        <f t="shared" si="85"/>
        <v>8.4563153633337163E-3</v>
      </c>
    </row>
    <row r="963" spans="12:19" x14ac:dyDescent="0.35">
      <c r="L963" s="2">
        <v>0</v>
      </c>
      <c r="M963" s="2">
        <v>0.1</v>
      </c>
      <c r="N963" s="2">
        <v>0.1</v>
      </c>
      <c r="O963" s="2">
        <v>0.2</v>
      </c>
      <c r="P963" s="8">
        <v>0.6</v>
      </c>
      <c r="Q963" s="12">
        <f t="shared" ref="Q963:Q1026" si="86">SUMPRODUCT($U$5:$Y$5,L963:P963)</f>
        <v>5.1458641427730217E-4</v>
      </c>
      <c r="R963" s="3">
        <f t="shared" ref="R963:R1003" si="87">POWER(L963,2)*$V$9+POWER(M963,2)*$W$10+POWER(N963,2)*$X$11+POWER(O963,2)*$Y$12+POWER(P963,2)*$Z$13+2*(L963*M963*$V$10+N963*O963*$X$12+N963*P963*$X$13+$O$3*P963*$Y$13+L963*N963*$V$11+L963*O963*$V$12+L963*P963*$V$13+M963*N963*$W$11+M963*O963*$W$12+M963*P963*$W$13)</f>
        <v>7.0267500528707196E-5</v>
      </c>
      <c r="S963" s="14">
        <f t="shared" si="85"/>
        <v>8.3825712361248195E-3</v>
      </c>
    </row>
    <row r="964" spans="12:19" x14ac:dyDescent="0.35">
      <c r="L964" s="2">
        <v>0</v>
      </c>
      <c r="M964" s="2">
        <v>0</v>
      </c>
      <c r="N964" s="2">
        <v>0.2</v>
      </c>
      <c r="O964" s="2">
        <v>0.2</v>
      </c>
      <c r="P964" s="8">
        <v>0.6</v>
      </c>
      <c r="Q964" s="12">
        <f t="shared" si="86"/>
        <v>5.5908014745987178E-4</v>
      </c>
      <c r="R964" s="3">
        <f t="shared" si="87"/>
        <v>7.9928522774983877E-5</v>
      </c>
      <c r="S964" s="14">
        <f t="shared" ref="S964:S1003" si="88">SQRT(R964)</f>
        <v>8.9402753187462786E-3</v>
      </c>
    </row>
    <row r="965" spans="12:19" x14ac:dyDescent="0.35">
      <c r="L965" s="2">
        <v>0.1</v>
      </c>
      <c r="M965" s="2">
        <v>0</v>
      </c>
      <c r="N965" s="2">
        <v>0</v>
      </c>
      <c r="O965" s="2">
        <v>0.3</v>
      </c>
      <c r="P965" s="8">
        <v>0.6</v>
      </c>
      <c r="Q965" s="12">
        <f t="shared" si="86"/>
        <v>4.1213209745982613E-4</v>
      </c>
      <c r="R965" s="3">
        <f t="shared" si="87"/>
        <v>7.5063398626235871E-5</v>
      </c>
      <c r="S965" s="14">
        <f t="shared" si="88"/>
        <v>8.6639135860323464E-3</v>
      </c>
    </row>
    <row r="966" spans="12:19" x14ac:dyDescent="0.35">
      <c r="L966" s="2">
        <v>0</v>
      </c>
      <c r="M966" s="2">
        <v>0.1</v>
      </c>
      <c r="N966" s="2">
        <v>0</v>
      </c>
      <c r="O966" s="2">
        <v>0.3</v>
      </c>
      <c r="P966" s="8">
        <v>0.6</v>
      </c>
      <c r="Q966" s="12">
        <f t="shared" si="86"/>
        <v>5.123882862092449E-4</v>
      </c>
      <c r="R966" s="3">
        <f t="shared" si="87"/>
        <v>7.2483135524342295E-5</v>
      </c>
      <c r="S966" s="14">
        <f t="shared" si="88"/>
        <v>8.5137028092565157E-3</v>
      </c>
    </row>
    <row r="967" spans="12:19" x14ac:dyDescent="0.35">
      <c r="L967" s="2">
        <v>0</v>
      </c>
      <c r="M967" s="2">
        <v>0</v>
      </c>
      <c r="N967" s="2">
        <v>0.1</v>
      </c>
      <c r="O967" s="2">
        <v>0.3</v>
      </c>
      <c r="P967" s="8">
        <v>0.6</v>
      </c>
      <c r="Q967" s="12">
        <f t="shared" si="86"/>
        <v>5.5688201939181462E-4</v>
      </c>
      <c r="R967" s="3">
        <f t="shared" si="87"/>
        <v>7.4427118384975119E-5</v>
      </c>
      <c r="S967" s="14">
        <f t="shared" si="88"/>
        <v>8.6271152991585272E-3</v>
      </c>
    </row>
    <row r="968" spans="12:19" x14ac:dyDescent="0.35">
      <c r="L968" s="2">
        <v>0</v>
      </c>
      <c r="M968" s="2">
        <v>0</v>
      </c>
      <c r="N968" s="2">
        <v>0</v>
      </c>
      <c r="O968" s="2">
        <v>0.4</v>
      </c>
      <c r="P968" s="8">
        <v>0.6</v>
      </c>
      <c r="Q968" s="12">
        <f t="shared" si="86"/>
        <v>5.5468389132375736E-4</v>
      </c>
      <c r="R968" s="3">
        <f t="shared" si="87"/>
        <v>8.0635598306611587E-5</v>
      </c>
      <c r="S968" s="14">
        <f t="shared" si="88"/>
        <v>8.9797326411542779E-3</v>
      </c>
    </row>
    <row r="969" spans="12:19" x14ac:dyDescent="0.35">
      <c r="L969" s="2">
        <v>0.3</v>
      </c>
      <c r="M969" s="2">
        <v>0</v>
      </c>
      <c r="N969" s="2">
        <v>0</v>
      </c>
      <c r="O969" s="2">
        <v>0</v>
      </c>
      <c r="P969" s="8">
        <v>0.7</v>
      </c>
      <c r="Q969" s="12">
        <f t="shared" si="86"/>
        <v>1.7487010557278878E-4</v>
      </c>
      <c r="R969" s="3">
        <f t="shared" si="87"/>
        <v>1.410529699183124E-4</v>
      </c>
      <c r="S969" s="14">
        <f t="shared" si="88"/>
        <v>1.1876572313521794E-2</v>
      </c>
    </row>
    <row r="970" spans="12:19" x14ac:dyDescent="0.35">
      <c r="L970" s="2">
        <v>0.2</v>
      </c>
      <c r="M970" s="2">
        <v>0.1</v>
      </c>
      <c r="N970" s="2">
        <v>0</v>
      </c>
      <c r="O970" s="2">
        <v>0</v>
      </c>
      <c r="P970" s="8">
        <v>0.7</v>
      </c>
      <c r="Q970" s="12">
        <f t="shared" si="86"/>
        <v>2.7512629432220755E-4</v>
      </c>
      <c r="R970" s="3">
        <f t="shared" si="87"/>
        <v>1.0114344192578719E-4</v>
      </c>
      <c r="S970" s="14">
        <f t="shared" si="88"/>
        <v>1.0057009591612568E-2</v>
      </c>
    </row>
    <row r="971" spans="12:19" x14ac:dyDescent="0.35">
      <c r="L971" s="2">
        <v>0.1</v>
      </c>
      <c r="M971" s="2">
        <v>0.2</v>
      </c>
      <c r="N971" s="2">
        <v>0</v>
      </c>
      <c r="O971" s="2">
        <v>0</v>
      </c>
      <c r="P971" s="8">
        <v>0.7</v>
      </c>
      <c r="Q971" s="12">
        <f t="shared" si="86"/>
        <v>3.7538248307162638E-4</v>
      </c>
      <c r="R971" s="3">
        <f t="shared" si="87"/>
        <v>8.5801894014392438E-5</v>
      </c>
      <c r="S971" s="14">
        <f t="shared" si="88"/>
        <v>9.2629311783253808E-3</v>
      </c>
    </row>
    <row r="972" spans="12:19" x14ac:dyDescent="0.35">
      <c r="L972" s="2">
        <v>0</v>
      </c>
      <c r="M972" s="2">
        <v>0.3</v>
      </c>
      <c r="N972" s="2">
        <v>0</v>
      </c>
      <c r="O972" s="2">
        <v>0</v>
      </c>
      <c r="P972" s="8">
        <v>0.7</v>
      </c>
      <c r="Q972" s="12">
        <f t="shared" si="86"/>
        <v>4.7563867182104521E-4</v>
      </c>
      <c r="R972" s="3">
        <f t="shared" si="87"/>
        <v>9.5028326184128168E-5</v>
      </c>
      <c r="S972" s="14">
        <f t="shared" si="88"/>
        <v>9.7482473390927138E-3</v>
      </c>
    </row>
    <row r="973" spans="12:19" x14ac:dyDescent="0.35">
      <c r="L973" s="2">
        <v>0.2</v>
      </c>
      <c r="M973" s="2">
        <v>0</v>
      </c>
      <c r="N973" s="2">
        <v>0.1</v>
      </c>
      <c r="O973" s="2">
        <v>0</v>
      </c>
      <c r="P973" s="8">
        <v>0.7</v>
      </c>
      <c r="Q973" s="12">
        <f t="shared" si="86"/>
        <v>3.1962002750477716E-4</v>
      </c>
      <c r="R973" s="3">
        <f t="shared" si="87"/>
        <v>9.841042120928776E-5</v>
      </c>
      <c r="S973" s="14">
        <f t="shared" si="88"/>
        <v>9.920202679849225E-3</v>
      </c>
    </row>
    <row r="974" spans="12:19" x14ac:dyDescent="0.35">
      <c r="L974" s="2">
        <v>0.1</v>
      </c>
      <c r="M974" s="2">
        <v>0.1</v>
      </c>
      <c r="N974" s="2">
        <v>0.1</v>
      </c>
      <c r="O974" s="2">
        <v>0</v>
      </c>
      <c r="P974" s="8">
        <v>0.7</v>
      </c>
      <c r="Q974" s="12">
        <f t="shared" si="86"/>
        <v>4.1987621625419599E-4</v>
      </c>
      <c r="R974" s="3">
        <f t="shared" si="87"/>
        <v>7.8775181340702129E-5</v>
      </c>
      <c r="S974" s="14">
        <f t="shared" si="88"/>
        <v>8.8755383690625848E-3</v>
      </c>
    </row>
    <row r="975" spans="12:19" x14ac:dyDescent="0.35">
      <c r="L975" s="2">
        <v>0</v>
      </c>
      <c r="M975" s="2">
        <v>0.2</v>
      </c>
      <c r="N975" s="2">
        <v>0.1</v>
      </c>
      <c r="O975" s="2">
        <v>0</v>
      </c>
      <c r="P975" s="8">
        <v>0.7</v>
      </c>
      <c r="Q975" s="12">
        <f t="shared" si="86"/>
        <v>5.2013240500361482E-4</v>
      </c>
      <c r="R975" s="3">
        <f t="shared" si="87"/>
        <v>8.3707921553246992E-5</v>
      </c>
      <c r="S975" s="14">
        <f t="shared" si="88"/>
        <v>9.1492033288831758E-3</v>
      </c>
    </row>
    <row r="976" spans="12:19" x14ac:dyDescent="0.35">
      <c r="L976" s="2">
        <v>0.1</v>
      </c>
      <c r="M976" s="2">
        <v>0</v>
      </c>
      <c r="N976" s="2">
        <v>0.2</v>
      </c>
      <c r="O976" s="2">
        <v>0</v>
      </c>
      <c r="P976" s="8">
        <v>0.7</v>
      </c>
      <c r="Q976" s="12">
        <f t="shared" si="86"/>
        <v>4.643699494367656E-4</v>
      </c>
      <c r="R976" s="3">
        <f t="shared" si="87"/>
        <v>8.5947002636952636E-5</v>
      </c>
      <c r="S976" s="14">
        <f t="shared" si="88"/>
        <v>9.2707606288239715E-3</v>
      </c>
    </row>
    <row r="977" spans="12:19" x14ac:dyDescent="0.35">
      <c r="L977" s="2">
        <v>0</v>
      </c>
      <c r="M977" s="2">
        <v>0.1</v>
      </c>
      <c r="N977" s="2">
        <v>0.2</v>
      </c>
      <c r="O977" s="2">
        <v>0</v>
      </c>
      <c r="P977" s="8">
        <v>0.7</v>
      </c>
      <c r="Q977" s="12">
        <f t="shared" si="86"/>
        <v>5.6462613818618443E-4</v>
      </c>
      <c r="R977" s="3">
        <f t="shared" si="87"/>
        <v>8.6586050892306619E-5</v>
      </c>
      <c r="S977" s="14">
        <f t="shared" si="88"/>
        <v>9.3051625935448665E-3</v>
      </c>
    </row>
    <row r="978" spans="12:19" x14ac:dyDescent="0.35">
      <c r="L978" s="2">
        <v>0</v>
      </c>
      <c r="M978" s="2">
        <v>0</v>
      </c>
      <c r="N978" s="2">
        <v>0.3</v>
      </c>
      <c r="O978" s="2">
        <v>0</v>
      </c>
      <c r="P978" s="8">
        <v>0.7</v>
      </c>
      <c r="Q978" s="12">
        <f t="shared" si="86"/>
        <v>6.0911987136875404E-4</v>
      </c>
      <c r="R978" s="3">
        <f t="shared" si="87"/>
        <v>1.0366271420130703E-4</v>
      </c>
      <c r="S978" s="14">
        <f t="shared" si="88"/>
        <v>1.0181488800824123E-2</v>
      </c>
    </row>
    <row r="979" spans="12:19" x14ac:dyDescent="0.35">
      <c r="L979" s="2">
        <v>0.2</v>
      </c>
      <c r="M979" s="2">
        <v>0</v>
      </c>
      <c r="N979" s="2">
        <v>0</v>
      </c>
      <c r="O979" s="2">
        <v>0.1</v>
      </c>
      <c r="P979" s="8">
        <v>0.7</v>
      </c>
      <c r="Q979" s="12">
        <f t="shared" si="86"/>
        <v>3.1742189943671995E-4</v>
      </c>
      <c r="R979" s="3">
        <f t="shared" si="87"/>
        <v>9.5691654459237823E-5</v>
      </c>
      <c r="S979" s="14">
        <f t="shared" si="88"/>
        <v>9.7822111232194232E-3</v>
      </c>
    </row>
    <row r="980" spans="12:19" x14ac:dyDescent="0.35">
      <c r="L980" s="2">
        <v>0.1</v>
      </c>
      <c r="M980" s="2">
        <v>0.1</v>
      </c>
      <c r="N980" s="2">
        <v>0</v>
      </c>
      <c r="O980" s="2">
        <v>0.1</v>
      </c>
      <c r="P980" s="8">
        <v>0.7</v>
      </c>
      <c r="Q980" s="12">
        <f t="shared" si="86"/>
        <v>4.1767808818613872E-4</v>
      </c>
      <c r="R980" s="3">
        <f t="shared" si="87"/>
        <v>7.4717920484205252E-5</v>
      </c>
      <c r="S980" s="14">
        <f t="shared" si="88"/>
        <v>8.6439528275092554E-3</v>
      </c>
    </row>
    <row r="981" spans="12:19" x14ac:dyDescent="0.35">
      <c r="L981" s="2">
        <v>0</v>
      </c>
      <c r="M981" s="2">
        <v>0.2</v>
      </c>
      <c r="N981" s="2">
        <v>0</v>
      </c>
      <c r="O981" s="2">
        <v>0.1</v>
      </c>
      <c r="P981" s="8">
        <v>0.7</v>
      </c>
      <c r="Q981" s="12">
        <f t="shared" si="86"/>
        <v>5.1793427693555755E-4</v>
      </c>
      <c r="R981" s="3">
        <f t="shared" si="87"/>
        <v>7.8312166590303162E-5</v>
      </c>
      <c r="S981" s="14">
        <f t="shared" si="88"/>
        <v>8.8494161722852179E-3</v>
      </c>
    </row>
    <row r="982" spans="12:19" x14ac:dyDescent="0.35">
      <c r="L982" s="2">
        <v>0.1</v>
      </c>
      <c r="M982" s="2">
        <v>0</v>
      </c>
      <c r="N982" s="2">
        <v>0.1</v>
      </c>
      <c r="O982" s="2">
        <v>0.1</v>
      </c>
      <c r="P982" s="8">
        <v>0.7</v>
      </c>
      <c r="Q982" s="12">
        <f t="shared" si="86"/>
        <v>4.6217182136870839E-4</v>
      </c>
      <c r="R982" s="3">
        <f t="shared" si="87"/>
        <v>7.4172702394811917E-5</v>
      </c>
      <c r="S982" s="14">
        <f t="shared" si="88"/>
        <v>8.6123575398848792E-3</v>
      </c>
    </row>
    <row r="983" spans="12:19" x14ac:dyDescent="0.35">
      <c r="L983" s="2">
        <v>0</v>
      </c>
      <c r="M983" s="2">
        <v>0.1</v>
      </c>
      <c r="N983" s="2">
        <v>0.1</v>
      </c>
      <c r="O983" s="2">
        <v>0.1</v>
      </c>
      <c r="P983" s="8">
        <v>0.7</v>
      </c>
      <c r="Q983" s="12">
        <f t="shared" si="86"/>
        <v>5.6242801011812716E-4</v>
      </c>
      <c r="R983" s="3">
        <f t="shared" si="87"/>
        <v>7.3473256543718932E-5</v>
      </c>
      <c r="S983" s="14">
        <f t="shared" si="88"/>
        <v>8.5716542477936499E-3</v>
      </c>
    </row>
    <row r="984" spans="12:19" x14ac:dyDescent="0.35">
      <c r="L984" s="2">
        <v>0</v>
      </c>
      <c r="M984" s="2">
        <v>0</v>
      </c>
      <c r="N984" s="2">
        <v>0.2</v>
      </c>
      <c r="O984" s="2">
        <v>0.1</v>
      </c>
      <c r="P984" s="8">
        <v>0.7</v>
      </c>
      <c r="Q984" s="12">
        <f t="shared" si="86"/>
        <v>6.0692174330069678E-4</v>
      </c>
      <c r="R984" s="3">
        <f t="shared" si="87"/>
        <v>8.2832880467075546E-5</v>
      </c>
      <c r="S984" s="14">
        <f t="shared" si="88"/>
        <v>9.1012570816934712E-3</v>
      </c>
    </row>
    <row r="985" spans="12:19" x14ac:dyDescent="0.35">
      <c r="L985" s="2">
        <v>0.1</v>
      </c>
      <c r="M985" s="2">
        <v>0</v>
      </c>
      <c r="N985" s="2">
        <v>0</v>
      </c>
      <c r="O985" s="2">
        <v>0.2</v>
      </c>
      <c r="P985" s="8">
        <v>0.7</v>
      </c>
      <c r="Q985" s="12">
        <f t="shared" si="86"/>
        <v>4.5997369330065118E-4</v>
      </c>
      <c r="R985" s="3">
        <f t="shared" si="87"/>
        <v>7.4108286464316396E-5</v>
      </c>
      <c r="S985" s="14">
        <f t="shared" si="88"/>
        <v>8.6086169890590668E-3</v>
      </c>
    </row>
    <row r="986" spans="12:19" x14ac:dyDescent="0.35">
      <c r="L986" s="2">
        <v>0</v>
      </c>
      <c r="M986" s="2">
        <v>0.1</v>
      </c>
      <c r="N986" s="2">
        <v>0</v>
      </c>
      <c r="O986" s="2">
        <v>0.2</v>
      </c>
      <c r="P986" s="8">
        <v>0.7</v>
      </c>
      <c r="Q986" s="12">
        <f t="shared" si="86"/>
        <v>5.6022988205007001E-4</v>
      </c>
      <c r="R986" s="3">
        <f t="shared" si="87"/>
        <v>7.2070346506776471E-5</v>
      </c>
      <c r="S986" s="14">
        <f t="shared" si="88"/>
        <v>8.4894255698943766E-3</v>
      </c>
    </row>
    <row r="987" spans="12:19" x14ac:dyDescent="0.35">
      <c r="L987" s="2">
        <v>0</v>
      </c>
      <c r="M987" s="2">
        <v>0</v>
      </c>
      <c r="N987" s="2">
        <v>0.1</v>
      </c>
      <c r="O987" s="2">
        <v>0.2</v>
      </c>
      <c r="P987" s="8">
        <v>0.7</v>
      </c>
      <c r="Q987" s="12">
        <f t="shared" si="86"/>
        <v>6.0472361523263962E-4</v>
      </c>
      <c r="R987" s="3">
        <f t="shared" si="87"/>
        <v>7.3712931044489228E-5</v>
      </c>
      <c r="S987" s="14">
        <f t="shared" si="88"/>
        <v>8.5856235093608214E-3</v>
      </c>
    </row>
    <row r="988" spans="12:19" x14ac:dyDescent="0.35">
      <c r="L988" s="2">
        <v>0</v>
      </c>
      <c r="M988" s="2">
        <v>0</v>
      </c>
      <c r="N988" s="2">
        <v>0</v>
      </c>
      <c r="O988" s="2">
        <v>0.3</v>
      </c>
      <c r="P988" s="8">
        <v>0.7</v>
      </c>
      <c r="Q988" s="12">
        <f t="shared" si="86"/>
        <v>6.0252548716458235E-4</v>
      </c>
      <c r="R988" s="3">
        <f t="shared" si="87"/>
        <v>7.6302865933548108E-5</v>
      </c>
      <c r="S988" s="14">
        <f t="shared" si="88"/>
        <v>8.7351511683283478E-3</v>
      </c>
    </row>
    <row r="989" spans="12:19" x14ac:dyDescent="0.35">
      <c r="L989" s="2">
        <v>0.2</v>
      </c>
      <c r="M989" s="2">
        <v>0</v>
      </c>
      <c r="N989" s="2">
        <v>0</v>
      </c>
      <c r="O989" s="2">
        <v>0</v>
      </c>
      <c r="P989" s="8">
        <v>0.8</v>
      </c>
      <c r="Q989" s="12">
        <f t="shared" si="86"/>
        <v>3.65263495277545E-4</v>
      </c>
      <c r="R989" s="3">
        <f t="shared" si="87"/>
        <v>1.0550271300234711E-4</v>
      </c>
      <c r="S989" s="14">
        <f t="shared" si="88"/>
        <v>1.0271451358125934E-2</v>
      </c>
    </row>
    <row r="990" spans="12:19" x14ac:dyDescent="0.35">
      <c r="L990" s="2">
        <v>0.1</v>
      </c>
      <c r="M990" s="2">
        <v>0.1</v>
      </c>
      <c r="N990" s="2">
        <v>0</v>
      </c>
      <c r="O990" s="2">
        <v>0</v>
      </c>
      <c r="P990" s="8">
        <v>0.8</v>
      </c>
      <c r="Q990" s="12">
        <f t="shared" si="86"/>
        <v>4.6551968402696377E-4</v>
      </c>
      <c r="R990" s="3">
        <f t="shared" si="87"/>
        <v>8.507130217166822E-5</v>
      </c>
      <c r="S990" s="14">
        <f t="shared" si="88"/>
        <v>9.2234105498816554E-3</v>
      </c>
    </row>
    <row r="991" spans="12:19" x14ac:dyDescent="0.35">
      <c r="L991" s="2">
        <v>0</v>
      </c>
      <c r="M991" s="2">
        <v>0.2</v>
      </c>
      <c r="N991" s="2">
        <v>0</v>
      </c>
      <c r="O991" s="2">
        <v>0</v>
      </c>
      <c r="P991" s="8">
        <v>0.8</v>
      </c>
      <c r="Q991" s="12">
        <f t="shared" si="86"/>
        <v>5.6577587277638255E-4</v>
      </c>
      <c r="R991" s="3">
        <f t="shared" si="87"/>
        <v>8.9207871422119822E-5</v>
      </c>
      <c r="S991" s="14">
        <f t="shared" si="88"/>
        <v>9.4449918698810871E-3</v>
      </c>
    </row>
    <row r="992" spans="12:19" x14ac:dyDescent="0.35">
      <c r="L992" s="2">
        <v>0.1</v>
      </c>
      <c r="M992" s="2">
        <v>0</v>
      </c>
      <c r="N992" s="2">
        <v>0.1</v>
      </c>
      <c r="O992" s="2">
        <v>0</v>
      </c>
      <c r="P992" s="8">
        <v>0.8</v>
      </c>
      <c r="Q992" s="12">
        <f t="shared" si="86"/>
        <v>5.1001341720953344E-4</v>
      </c>
      <c r="R992" s="3">
        <f t="shared" si="87"/>
        <v>8.4224685759354804E-5</v>
      </c>
      <c r="S992" s="14">
        <f t="shared" si="88"/>
        <v>9.1774008171897348E-3</v>
      </c>
    </row>
    <row r="993" spans="12:19" x14ac:dyDescent="0.35">
      <c r="L993" s="2">
        <v>0</v>
      </c>
      <c r="M993" s="2">
        <v>0.1</v>
      </c>
      <c r="N993" s="2">
        <v>0.1</v>
      </c>
      <c r="O993" s="2">
        <v>0</v>
      </c>
      <c r="P993" s="8">
        <v>0.8</v>
      </c>
      <c r="Q993" s="12">
        <f t="shared" si="86"/>
        <v>6.1026960595895227E-4</v>
      </c>
      <c r="R993" s="3">
        <f t="shared" si="87"/>
        <v>8.4067563052615512E-5</v>
      </c>
      <c r="S993" s="14">
        <f t="shared" si="88"/>
        <v>9.1688365157535402E-3</v>
      </c>
    </row>
    <row r="994" spans="12:19" x14ac:dyDescent="0.35">
      <c r="L994" s="2">
        <v>0</v>
      </c>
      <c r="M994" s="2">
        <v>0</v>
      </c>
      <c r="N994" s="2">
        <v>0.2</v>
      </c>
      <c r="O994" s="2">
        <v>0</v>
      </c>
      <c r="P994" s="8">
        <v>0.8</v>
      </c>
      <c r="Q994" s="12">
        <f t="shared" si="86"/>
        <v>6.5476333914152188E-4</v>
      </c>
      <c r="R994" s="3">
        <f t="shared" si="87"/>
        <v>9.3125788653052017E-5</v>
      </c>
      <c r="S994" s="14">
        <f t="shared" si="88"/>
        <v>9.6501703950268164E-3</v>
      </c>
    </row>
    <row r="995" spans="12:19" x14ac:dyDescent="0.35">
      <c r="L995" s="2">
        <v>0.1</v>
      </c>
      <c r="M995" s="2">
        <v>0</v>
      </c>
      <c r="N995" s="2">
        <v>0</v>
      </c>
      <c r="O995" s="2">
        <v>0.1</v>
      </c>
      <c r="P995" s="8">
        <v>0.8</v>
      </c>
      <c r="Q995" s="12">
        <f t="shared" si="86"/>
        <v>5.0781528914147617E-4</v>
      </c>
      <c r="R995" s="3">
        <f t="shared" si="87"/>
        <v>8.0541724796281722E-5</v>
      </c>
      <c r="S995" s="14">
        <f t="shared" si="88"/>
        <v>8.9745041532266132E-3</v>
      </c>
    </row>
    <row r="996" spans="12:19" x14ac:dyDescent="0.35">
      <c r="L996" s="2">
        <v>0</v>
      </c>
      <c r="M996" s="2">
        <v>0.1</v>
      </c>
      <c r="N996" s="2">
        <v>0</v>
      </c>
      <c r="O996" s="2">
        <v>0.1</v>
      </c>
      <c r="P996" s="8">
        <v>0.8</v>
      </c>
      <c r="Q996" s="12">
        <f t="shared" si="86"/>
        <v>6.08071477890895E-4</v>
      </c>
      <c r="R996" s="3">
        <f t="shared" si="87"/>
        <v>7.9046107983095476E-5</v>
      </c>
      <c r="S996" s="14">
        <f t="shared" si="88"/>
        <v>8.8907878156604028E-3</v>
      </c>
    </row>
    <row r="997" spans="12:19" x14ac:dyDescent="0.35">
      <c r="L997" s="2">
        <v>0</v>
      </c>
      <c r="M997" s="2">
        <v>0</v>
      </c>
      <c r="N997" s="2">
        <v>0.1</v>
      </c>
      <c r="O997" s="2">
        <v>0.1</v>
      </c>
      <c r="P997" s="8">
        <v>0.8</v>
      </c>
      <c r="Q997" s="12">
        <f t="shared" si="86"/>
        <v>6.5256521107346461E-4</v>
      </c>
      <c r="R997" s="3">
        <f t="shared" si="87"/>
        <v>8.0387294197888139E-5</v>
      </c>
      <c r="S997" s="14">
        <f t="shared" si="88"/>
        <v>8.9658961737178362E-3</v>
      </c>
    </row>
    <row r="998" spans="12:19" x14ac:dyDescent="0.35">
      <c r="L998" s="2">
        <v>0</v>
      </c>
      <c r="M998" s="2">
        <v>0</v>
      </c>
      <c r="N998" s="2">
        <v>0</v>
      </c>
      <c r="O998" s="2">
        <v>0.2</v>
      </c>
      <c r="P998" s="8">
        <v>0.8</v>
      </c>
      <c r="Q998" s="12">
        <f t="shared" si="86"/>
        <v>6.5036708300540735E-4</v>
      </c>
      <c r="R998" s="3">
        <f t="shared" si="87"/>
        <v>7.9358684054369472E-5</v>
      </c>
      <c r="S998" s="14">
        <f t="shared" si="88"/>
        <v>8.9083491205929656E-3</v>
      </c>
    </row>
    <row r="999" spans="12:19" x14ac:dyDescent="0.35">
      <c r="L999" s="2">
        <v>0.1</v>
      </c>
      <c r="M999" s="2">
        <v>0</v>
      </c>
      <c r="N999" s="2">
        <v>0</v>
      </c>
      <c r="O999" s="2">
        <v>0</v>
      </c>
      <c r="P999" s="8">
        <v>0.9</v>
      </c>
      <c r="Q999" s="12">
        <f t="shared" si="86"/>
        <v>5.5565688498230117E-4</v>
      </c>
      <c r="R999" s="3">
        <f t="shared" si="87"/>
        <v>9.4363713622131796E-5</v>
      </c>
      <c r="S999" s="14">
        <f t="shared" si="88"/>
        <v>9.7140987035407352E-3</v>
      </c>
    </row>
    <row r="1000" spans="12:19" x14ac:dyDescent="0.35">
      <c r="L1000" s="2">
        <v>0</v>
      </c>
      <c r="M1000" s="2">
        <v>0.1</v>
      </c>
      <c r="N1000" s="2">
        <v>0</v>
      </c>
      <c r="O1000" s="2">
        <v>0</v>
      </c>
      <c r="P1000" s="8">
        <v>0.9</v>
      </c>
      <c r="Q1000" s="12">
        <f t="shared" si="86"/>
        <v>6.5591307373172E-4</v>
      </c>
      <c r="R1000" s="3">
        <f t="shared" si="87"/>
        <v>9.3410419953299229E-5</v>
      </c>
      <c r="S1000" s="14">
        <f t="shared" si="88"/>
        <v>9.6649066189642627E-3</v>
      </c>
    </row>
    <row r="1001" spans="12:19" x14ac:dyDescent="0.35">
      <c r="L1001" s="2">
        <v>0</v>
      </c>
      <c r="M1001" s="2">
        <v>0</v>
      </c>
      <c r="N1001" s="2">
        <v>0.1</v>
      </c>
      <c r="O1001" s="2">
        <v>0</v>
      </c>
      <c r="P1001" s="8">
        <v>0.9</v>
      </c>
      <c r="Q1001" s="12">
        <f t="shared" si="86"/>
        <v>7.0040680691428961E-4</v>
      </c>
      <c r="R1001" s="3">
        <f t="shared" si="87"/>
        <v>9.4450207845171811E-5</v>
      </c>
      <c r="S1001" s="14">
        <f t="shared" si="88"/>
        <v>9.7185496780729484E-3</v>
      </c>
    </row>
    <row r="1002" spans="12:19" x14ac:dyDescent="0.35">
      <c r="L1002" s="2">
        <v>0</v>
      </c>
      <c r="M1002" s="2">
        <v>0</v>
      </c>
      <c r="N1002" s="2">
        <v>0</v>
      </c>
      <c r="O1002" s="2">
        <v>0.1</v>
      </c>
      <c r="P1002" s="8">
        <v>0.9</v>
      </c>
      <c r="Q1002" s="12">
        <f t="shared" si="86"/>
        <v>6.9820867884623245E-4</v>
      </c>
      <c r="R1002" s="3">
        <f t="shared" si="87"/>
        <v>8.980305266907557E-5</v>
      </c>
      <c r="S1002" s="14">
        <f t="shared" si="88"/>
        <v>9.4764472598688355E-3</v>
      </c>
    </row>
    <row r="1003" spans="12:19" x14ac:dyDescent="0.35">
      <c r="L1003" s="2">
        <v>0</v>
      </c>
      <c r="M1003" s="2">
        <v>0</v>
      </c>
      <c r="N1003" s="2">
        <v>0</v>
      </c>
      <c r="O1003" s="2">
        <v>0</v>
      </c>
      <c r="P1003" s="8">
        <v>1</v>
      </c>
      <c r="Q1003" s="12">
        <f t="shared" si="86"/>
        <v>7.4605027468705744E-4</v>
      </c>
      <c r="R1003" s="3">
        <f t="shared" si="87"/>
        <v>1.0763597177766647E-4</v>
      </c>
      <c r="S1003" s="14">
        <f t="shared" si="88"/>
        <v>1.0374775745897666E-2</v>
      </c>
    </row>
  </sheetData>
  <mergeCells count="6">
    <mergeCell ref="U7:Z7"/>
    <mergeCell ref="A1:F1"/>
    <mergeCell ref="L1:P1"/>
    <mergeCell ref="G1:K1"/>
    <mergeCell ref="Q1:S1"/>
    <mergeCell ref="U3:Y3"/>
  </mergeCells>
  <phoneticPr fontId="19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3E429-BDD1-4F23-92D7-C895D5C587DA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Michel Guadarrama Cruz</dc:creator>
  <cp:lastModifiedBy>actda</cp:lastModifiedBy>
  <dcterms:created xsi:type="dcterms:W3CDTF">2020-12-05T03:21:20Z</dcterms:created>
  <dcterms:modified xsi:type="dcterms:W3CDTF">2020-12-05T08:48:31Z</dcterms:modified>
</cp:coreProperties>
</file>